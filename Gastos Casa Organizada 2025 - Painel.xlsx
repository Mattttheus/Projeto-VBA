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4.xml" ContentType="application/vnd.openxmlformats-officedocument.spreadsheetml.table+xml"/>
  <Override PartName="/xl/drawings/drawing9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C:\wamp64.1\www\Projeto VBA\"/>
    </mc:Choice>
  </mc:AlternateContent>
  <xr:revisionPtr revIDLastSave="0" documentId="8_{2E656870-F265-4CF2-A47A-4E9A6DC29323}" xr6:coauthVersionLast="47" xr6:coauthVersionMax="47" xr10:uidLastSave="{00000000-0000-0000-0000-000000000000}"/>
  <bookViews>
    <workbookView xWindow="-120" yWindow="-120" windowWidth="20730" windowHeight="11040" firstSheet="2" activeTab="2" xr2:uid="{00000000-000D-0000-FFFF-FFFF00000000}"/>
  </bookViews>
  <sheets>
    <sheet name="Dinâmicas" sheetId="41" state="hidden" r:id="rId1"/>
    <sheet name="Calc" sheetId="13" state="hidden" r:id="rId2"/>
    <sheet name="Painel" sheetId="42" r:id="rId3"/>
    <sheet name="Análise" sheetId="43" r:id="rId4"/>
    <sheet name="Cadastro" sheetId="44" r:id="rId5"/>
    <sheet name="Contas" sheetId="23" r:id="rId6"/>
    <sheet name="Metas" sheetId="24" r:id="rId7"/>
    <sheet name="Lançamentos" sheetId="5" r:id="rId8"/>
    <sheet name="Orçamento" sheetId="3" r:id="rId9"/>
    <sheet name="Rendas" sheetId="4" r:id="rId10"/>
    <sheet name="Categorias" sheetId="2" r:id="rId11"/>
  </sheets>
  <definedNames>
    <definedName name="Ano">Calc!$B$1</definedName>
    <definedName name="catFixa">Cadastro!$G$9</definedName>
    <definedName name="catGrupo">Cadastro!$G$6</definedName>
    <definedName name="catPrev">Cadastro!$G$8</definedName>
    <definedName name="catSub">Cadastro!$G$7</definedName>
    <definedName name="conMes">Contas!$B$9</definedName>
    <definedName name="DiaVenc">Calc!$B$3</definedName>
    <definedName name="frmCat">Cadastro!$C$7</definedName>
    <definedName name="frmData">Cadastro!$C$6</definedName>
    <definedName name="frmDesc">Cadastro!$C$9</definedName>
    <definedName name="frmPag">Cadastro!$C$10</definedName>
    <definedName name="frmResp">Cadastro!$C$11</definedName>
    <definedName name="frmValor">Cadastro!$C$8</definedName>
    <definedName name="gCat">Calc!$B$21:INDEX(Calc!$B$21:$B$40,MAX(1,Calc!$B$19))</definedName>
    <definedName name="gPrev">Calc!$F$21:INDEX(Calc!$F$21:$F$40,MAX(1,Calc!$B$19))</definedName>
    <definedName name="gReal">Calc!$G$21:INDEX(Calc!$G$21:$G$40,MAX(1,Calc!$B$19))</definedName>
    <definedName name="ListaCategorias">tbCategorias[Lista]</definedName>
    <definedName name="ListaGrupos">Categorias!$G$4:$G$40</definedName>
    <definedName name="ListaMetas">tbMetas[Meta]</definedName>
    <definedName name="metData">Metas!$E$9</definedName>
    <definedName name="metSel">Metas!$B$9</definedName>
    <definedName name="metValor">Metas!$D$9</definedName>
    <definedName name="msgStatus">Cadastro!$J$19</definedName>
    <definedName name="nmAcum">tbMetas[Acumulado]</definedName>
    <definedName name="nmAlvo">tbMetas[Alvo]</definedName>
    <definedName name="nmMeta">tbMetas[Meta]</definedName>
    <definedName name="rFonte">Cadastro!$K$7</definedName>
    <definedName name="rMes">Cadastro!$K$6</definedName>
    <definedName name="rPrev">Cadastro!$K$8</definedName>
    <definedName name="rReal">Cadastro!$K$9</definedName>
    <definedName name="SegmentaçãodeDados_Grupo">#N/A</definedName>
    <definedName name="SegmentaçãodeDados_Mês_Ref">#N/A</definedName>
    <definedName name="SegmentaçãodeDados_Pagamento">#N/A</definedName>
    <definedName name="SegmentaçãodeDados_Responsável">#N/A</definedName>
  </definedNames>
  <calcPr calcId="191029"/>
  <pivotCaches>
    <pivotCache cacheId="8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44" l="1"/>
  <c r="E73" i="13"/>
  <c r="E70" i="13"/>
  <c r="D73" i="13"/>
  <c r="D71" i="13"/>
  <c r="D70" i="13"/>
  <c r="C72" i="13"/>
  <c r="C71" i="13"/>
  <c r="C70" i="13"/>
  <c r="B72" i="13"/>
  <c r="B71" i="13"/>
  <c r="B70" i="13"/>
  <c r="E65" i="13"/>
  <c r="D65" i="13"/>
  <c r="C65" i="13"/>
  <c r="C60" i="13"/>
  <c r="B66" i="13"/>
  <c r="B65" i="13"/>
  <c r="B64" i="13"/>
  <c r="D63" i="13" s="1"/>
  <c r="B63" i="13"/>
  <c r="C63" i="13" s="1"/>
  <c r="B62" i="13"/>
  <c r="E61" i="13" s="1"/>
  <c r="B61" i="13"/>
  <c r="C61" i="13" s="1"/>
  <c r="B60" i="13"/>
  <c r="D56" i="13"/>
  <c r="C56" i="13"/>
  <c r="B56" i="13"/>
  <c r="B46" i="13"/>
  <c r="B45" i="13"/>
  <c r="G34" i="13"/>
  <c r="G35" i="13"/>
  <c r="G36" i="13"/>
  <c r="G37" i="13"/>
  <c r="G38" i="13"/>
  <c r="G39" i="13"/>
  <c r="G40" i="13"/>
  <c r="F34" i="13"/>
  <c r="F35" i="13"/>
  <c r="F36" i="13"/>
  <c r="F37" i="13"/>
  <c r="F38" i="13"/>
  <c r="F39" i="13"/>
  <c r="F40" i="13"/>
  <c r="E34" i="13"/>
  <c r="E35" i="13"/>
  <c r="E36" i="13"/>
  <c r="E37" i="13"/>
  <c r="E38" i="13"/>
  <c r="E39" i="13"/>
  <c r="E40" i="13"/>
  <c r="D34" i="13"/>
  <c r="D35" i="13"/>
  <c r="D36" i="13"/>
  <c r="D37" i="13"/>
  <c r="D38" i="13"/>
  <c r="D39" i="13"/>
  <c r="D40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19" i="13"/>
  <c r="O2" i="13"/>
  <c r="N2" i="13"/>
  <c r="M2" i="13"/>
  <c r="L2" i="13"/>
  <c r="K2" i="13"/>
  <c r="J2" i="13"/>
  <c r="I2" i="13"/>
  <c r="H2" i="13"/>
  <c r="G2" i="13"/>
  <c r="F2" i="13"/>
  <c r="E2" i="13"/>
  <c r="D2" i="13"/>
  <c r="D25" i="13" s="1"/>
  <c r="F25" i="13" s="1"/>
  <c r="I5" i="13"/>
  <c r="I6" i="13"/>
  <c r="I7" i="13"/>
  <c r="I8" i="13"/>
  <c r="I9" i="13"/>
  <c r="I10" i="13"/>
  <c r="I11" i="13"/>
  <c r="I12" i="13"/>
  <c r="I13" i="13"/>
  <c r="I14" i="13"/>
  <c r="I15" i="13"/>
  <c r="I16" i="13"/>
  <c r="H5" i="13"/>
  <c r="H6" i="13"/>
  <c r="H7" i="13"/>
  <c r="H8" i="13"/>
  <c r="H9" i="13"/>
  <c r="H10" i="13"/>
  <c r="H11" i="13"/>
  <c r="H12" i="13"/>
  <c r="H13" i="13"/>
  <c r="H14" i="13"/>
  <c r="H15" i="13"/>
  <c r="H16" i="13"/>
  <c r="F5" i="13"/>
  <c r="F6" i="13"/>
  <c r="F7" i="13"/>
  <c r="F8" i="13"/>
  <c r="F9" i="13"/>
  <c r="F10" i="13"/>
  <c r="F11" i="13"/>
  <c r="F12" i="13"/>
  <c r="F13" i="13"/>
  <c r="F14" i="13"/>
  <c r="F15" i="13"/>
  <c r="F16" i="13"/>
  <c r="E5" i="13"/>
  <c r="E6" i="13"/>
  <c r="E7" i="13"/>
  <c r="E8" i="13"/>
  <c r="E9" i="13"/>
  <c r="E10" i="13"/>
  <c r="E11" i="13"/>
  <c r="E12" i="13"/>
  <c r="E13" i="13"/>
  <c r="E14" i="13"/>
  <c r="E15" i="13"/>
  <c r="E16" i="13"/>
  <c r="J12" i="24"/>
  <c r="J13" i="24"/>
  <c r="J14" i="24"/>
  <c r="J15" i="24"/>
  <c r="J16" i="24"/>
  <c r="J17" i="24"/>
  <c r="I12" i="24"/>
  <c r="I13" i="24"/>
  <c r="I14" i="24"/>
  <c r="I15" i="24"/>
  <c r="I16" i="24"/>
  <c r="I17" i="24"/>
  <c r="H12" i="24"/>
  <c r="H13" i="24"/>
  <c r="H14" i="24"/>
  <c r="H15" i="24"/>
  <c r="H16" i="24"/>
  <c r="H17" i="24"/>
  <c r="G12" i="24"/>
  <c r="G13" i="24"/>
  <c r="G14" i="24"/>
  <c r="G15" i="24"/>
  <c r="G16" i="24"/>
  <c r="G17" i="24"/>
  <c r="F12" i="24"/>
  <c r="F13" i="24"/>
  <c r="F14" i="24"/>
  <c r="F15" i="24"/>
  <c r="F16" i="24"/>
  <c r="F17" i="24"/>
  <c r="J12" i="23"/>
  <c r="E12" i="23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B5" i="5"/>
  <c r="B6" i="5"/>
  <c r="K6" i="5" s="1"/>
  <c r="B7" i="5"/>
  <c r="K7" i="5" s="1"/>
  <c r="B8" i="5"/>
  <c r="K8" i="5" s="1"/>
  <c r="B9" i="5"/>
  <c r="K9" i="5" s="1"/>
  <c r="B10" i="5"/>
  <c r="K10" i="5" s="1"/>
  <c r="B11" i="5"/>
  <c r="K11" i="5" s="1"/>
  <c r="B12" i="5"/>
  <c r="K12" i="5" s="1"/>
  <c r="B13" i="5"/>
  <c r="K13" i="5" s="1"/>
  <c r="B14" i="5"/>
  <c r="K14" i="5" s="1"/>
  <c r="B15" i="5"/>
  <c r="K15" i="5" s="1"/>
  <c r="B16" i="5"/>
  <c r="K16" i="5" s="1"/>
  <c r="B17" i="5"/>
  <c r="K17" i="5" s="1"/>
  <c r="B18" i="5"/>
  <c r="K18" i="5" s="1"/>
  <c r="B19" i="5"/>
  <c r="K19" i="5" s="1"/>
  <c r="B20" i="5"/>
  <c r="K20" i="5" s="1"/>
  <c r="B21" i="5"/>
  <c r="K21" i="5" s="1"/>
  <c r="B22" i="5"/>
  <c r="K22" i="5" s="1"/>
  <c r="B23" i="5"/>
  <c r="K23" i="5" s="1"/>
  <c r="B24" i="5"/>
  <c r="K24" i="5" s="1"/>
  <c r="B25" i="5"/>
  <c r="K25" i="5" s="1"/>
  <c r="B26" i="5"/>
  <c r="K26" i="5" s="1"/>
  <c r="B27" i="5"/>
  <c r="K27" i="5" s="1"/>
  <c r="B28" i="5"/>
  <c r="K28" i="5" s="1"/>
  <c r="B29" i="5"/>
  <c r="K29" i="5" s="1"/>
  <c r="B30" i="5"/>
  <c r="K30" i="5" s="1"/>
  <c r="B31" i="5"/>
  <c r="K31" i="5" s="1"/>
  <c r="B32" i="5"/>
  <c r="K32" i="5" s="1"/>
  <c r="B33" i="5"/>
  <c r="K33" i="5" s="1"/>
  <c r="B34" i="5"/>
  <c r="K34" i="5" s="1"/>
  <c r="B35" i="5"/>
  <c r="K35" i="5" s="1"/>
  <c r="B36" i="5"/>
  <c r="K36" i="5" s="1"/>
  <c r="B37" i="5"/>
  <c r="K37" i="5" s="1"/>
  <c r="B38" i="5"/>
  <c r="K38" i="5" s="1"/>
  <c r="B39" i="5"/>
  <c r="K39" i="5" s="1"/>
  <c r="B40" i="5"/>
  <c r="K40" i="5" s="1"/>
  <c r="B41" i="5"/>
  <c r="K41" i="5" s="1"/>
  <c r="B42" i="5"/>
  <c r="K42" i="5" s="1"/>
  <c r="B43" i="5"/>
  <c r="K43" i="5" s="1"/>
  <c r="B44" i="5"/>
  <c r="K44" i="5" s="1"/>
  <c r="B45" i="5"/>
  <c r="K45" i="5" s="1"/>
  <c r="B46" i="5"/>
  <c r="K46" i="5" s="1"/>
  <c r="B47" i="5"/>
  <c r="K47" i="5" s="1"/>
  <c r="B48" i="5"/>
  <c r="K48" i="5" s="1"/>
  <c r="B49" i="5"/>
  <c r="K49" i="5" s="1"/>
  <c r="B50" i="5"/>
  <c r="K50" i="5" s="1"/>
  <c r="B51" i="5"/>
  <c r="K51" i="5" s="1"/>
  <c r="B52" i="5"/>
  <c r="K52" i="5" s="1"/>
  <c r="B53" i="5"/>
  <c r="K53" i="5" s="1"/>
  <c r="B54" i="5"/>
  <c r="K54" i="5" s="1"/>
  <c r="B55" i="5"/>
  <c r="K55" i="5" s="1"/>
  <c r="B56" i="5"/>
  <c r="K56" i="5" s="1"/>
  <c r="B57" i="5"/>
  <c r="K57" i="5" s="1"/>
  <c r="B58" i="5"/>
  <c r="K58" i="5" s="1"/>
  <c r="B59" i="5"/>
  <c r="K59" i="5" s="1"/>
  <c r="B60" i="5"/>
  <c r="K60" i="5" s="1"/>
  <c r="B61" i="5"/>
  <c r="K61" i="5" s="1"/>
  <c r="B62" i="5"/>
  <c r="K62" i="5" s="1"/>
  <c r="B63" i="5"/>
  <c r="K63" i="5" s="1"/>
  <c r="B64" i="5"/>
  <c r="K64" i="5" s="1"/>
  <c r="B65" i="5"/>
  <c r="K65" i="5" s="1"/>
  <c r="B66" i="5"/>
  <c r="K66" i="5" s="1"/>
  <c r="B67" i="5"/>
  <c r="K67" i="5" s="1"/>
  <c r="B68" i="5"/>
  <c r="K68" i="5" s="1"/>
  <c r="B69" i="5"/>
  <c r="K69" i="5" s="1"/>
  <c r="B70" i="5"/>
  <c r="K70" i="5" s="1"/>
  <c r="B71" i="5"/>
  <c r="K71" i="5" s="1"/>
  <c r="B72" i="5"/>
  <c r="K72" i="5" s="1"/>
  <c r="B73" i="5"/>
  <c r="K73" i="5" s="1"/>
  <c r="B74" i="5"/>
  <c r="K74" i="5" s="1"/>
  <c r="B75" i="5"/>
  <c r="K75" i="5" s="1"/>
  <c r="B76" i="5"/>
  <c r="K76" i="5" s="1"/>
  <c r="B77" i="5"/>
  <c r="K77" i="5" s="1"/>
  <c r="B78" i="5"/>
  <c r="K78" i="5" s="1"/>
  <c r="B79" i="5"/>
  <c r="K79" i="5" s="1"/>
  <c r="B80" i="5"/>
  <c r="K80" i="5" s="1"/>
  <c r="B81" i="5"/>
  <c r="K81" i="5" s="1"/>
  <c r="B82" i="5"/>
  <c r="K82" i="5" s="1"/>
  <c r="B83" i="5"/>
  <c r="K83" i="5" s="1"/>
  <c r="B84" i="5"/>
  <c r="K84" i="5" s="1"/>
  <c r="B85" i="5"/>
  <c r="K85" i="5" s="1"/>
  <c r="B86" i="5"/>
  <c r="K86" i="5" s="1"/>
  <c r="B87" i="5"/>
  <c r="K87" i="5" s="1"/>
  <c r="B88" i="5"/>
  <c r="K88" i="5" s="1"/>
  <c r="B89" i="5"/>
  <c r="K89" i="5" s="1"/>
  <c r="B90" i="5"/>
  <c r="K90" i="5" s="1"/>
  <c r="B91" i="5"/>
  <c r="K91" i="5" s="1"/>
  <c r="B92" i="5"/>
  <c r="K92" i="5" s="1"/>
  <c r="B93" i="5"/>
  <c r="K93" i="5" s="1"/>
  <c r="B94" i="5"/>
  <c r="K94" i="5" s="1"/>
  <c r="B95" i="5"/>
  <c r="K95" i="5" s="1"/>
  <c r="B96" i="5"/>
  <c r="K96" i="5" s="1"/>
  <c r="B97" i="5"/>
  <c r="K97" i="5" s="1"/>
  <c r="B98" i="5"/>
  <c r="K98" i="5" s="1"/>
  <c r="B99" i="5"/>
  <c r="K99" i="5" s="1"/>
  <c r="B100" i="5"/>
  <c r="K100" i="5" s="1"/>
  <c r="B101" i="5"/>
  <c r="K101" i="5" s="1"/>
  <c r="B102" i="5"/>
  <c r="K102" i="5" s="1"/>
  <c r="B103" i="5"/>
  <c r="K103" i="5" s="1"/>
  <c r="B104" i="5"/>
  <c r="K104" i="5" s="1"/>
  <c r="B105" i="5"/>
  <c r="K105" i="5" s="1"/>
  <c r="B106" i="5"/>
  <c r="K106" i="5" s="1"/>
  <c r="B107" i="5"/>
  <c r="K107" i="5" s="1"/>
  <c r="B108" i="5"/>
  <c r="K108" i="5" s="1"/>
  <c r="B109" i="5"/>
  <c r="K109" i="5" s="1"/>
  <c r="B110" i="5"/>
  <c r="K110" i="5" s="1"/>
  <c r="B111" i="5"/>
  <c r="K111" i="5" s="1"/>
  <c r="B112" i="5"/>
  <c r="K112" i="5" s="1"/>
  <c r="B113" i="5"/>
  <c r="K113" i="5" s="1"/>
  <c r="B114" i="5"/>
  <c r="K114" i="5" s="1"/>
  <c r="B115" i="5"/>
  <c r="K115" i="5" s="1"/>
  <c r="B116" i="5"/>
  <c r="K116" i="5" s="1"/>
  <c r="B117" i="5"/>
  <c r="K117" i="5" s="1"/>
  <c r="B118" i="5"/>
  <c r="K118" i="5" s="1"/>
  <c r="B119" i="5"/>
  <c r="K119" i="5" s="1"/>
  <c r="B120" i="5"/>
  <c r="K120" i="5" s="1"/>
  <c r="B121" i="5"/>
  <c r="K121" i="5" s="1"/>
  <c r="B122" i="5"/>
  <c r="K122" i="5" s="1"/>
  <c r="B123" i="5"/>
  <c r="K123" i="5" s="1"/>
  <c r="B124" i="5"/>
  <c r="K124" i="5" s="1"/>
  <c r="B125" i="5"/>
  <c r="K125" i="5" s="1"/>
  <c r="B126" i="5"/>
  <c r="K126" i="5" s="1"/>
  <c r="B127" i="5"/>
  <c r="K127" i="5" s="1"/>
  <c r="B128" i="5"/>
  <c r="K128" i="5" s="1"/>
  <c r="B129" i="5"/>
  <c r="K129" i="5" s="1"/>
  <c r="B130" i="5"/>
  <c r="K130" i="5" s="1"/>
  <c r="B131" i="5"/>
  <c r="K131" i="5" s="1"/>
  <c r="B132" i="5"/>
  <c r="K132" i="5" s="1"/>
  <c r="B133" i="5"/>
  <c r="K133" i="5" s="1"/>
  <c r="B134" i="5"/>
  <c r="K134" i="5" s="1"/>
  <c r="B135" i="5"/>
  <c r="K135" i="5" s="1"/>
  <c r="B136" i="5"/>
  <c r="K136" i="5" s="1"/>
  <c r="B137" i="5"/>
  <c r="K137" i="5" s="1"/>
  <c r="B138" i="5"/>
  <c r="K138" i="5" s="1"/>
  <c r="B139" i="5"/>
  <c r="K139" i="5" s="1"/>
  <c r="B140" i="5"/>
  <c r="K140" i="5" s="1"/>
  <c r="B141" i="5"/>
  <c r="K141" i="5" s="1"/>
  <c r="B142" i="5"/>
  <c r="K142" i="5" s="1"/>
  <c r="B143" i="5"/>
  <c r="K143" i="5" s="1"/>
  <c r="B144" i="5"/>
  <c r="K144" i="5" s="1"/>
  <c r="B145" i="5"/>
  <c r="K145" i="5" s="1"/>
  <c r="B146" i="5"/>
  <c r="K146" i="5" s="1"/>
  <c r="B147" i="5"/>
  <c r="K147" i="5" s="1"/>
  <c r="B148" i="5"/>
  <c r="K148" i="5" s="1"/>
  <c r="B149" i="5"/>
  <c r="K149" i="5" s="1"/>
  <c r="B150" i="5"/>
  <c r="K150" i="5" s="1"/>
  <c r="B151" i="5"/>
  <c r="K151" i="5" s="1"/>
  <c r="B152" i="5"/>
  <c r="K152" i="5" s="1"/>
  <c r="B153" i="5"/>
  <c r="K153" i="5" s="1"/>
  <c r="B154" i="5"/>
  <c r="K154" i="5" s="1"/>
  <c r="B155" i="5"/>
  <c r="K155" i="5" s="1"/>
  <c r="B156" i="5"/>
  <c r="K156" i="5" s="1"/>
  <c r="B157" i="5"/>
  <c r="K157" i="5" s="1"/>
  <c r="B158" i="5"/>
  <c r="K158" i="5" s="1"/>
  <c r="B159" i="5"/>
  <c r="K159" i="5" s="1"/>
  <c r="B160" i="5"/>
  <c r="K160" i="5" s="1"/>
  <c r="B161" i="5"/>
  <c r="K161" i="5" s="1"/>
  <c r="B162" i="5"/>
  <c r="K162" i="5" s="1"/>
  <c r="B163" i="5"/>
  <c r="K163" i="5" s="1"/>
  <c r="B164" i="5"/>
  <c r="K164" i="5" s="1"/>
  <c r="B165" i="5"/>
  <c r="K165" i="5" s="1"/>
  <c r="B166" i="5"/>
  <c r="K166" i="5" s="1"/>
  <c r="B167" i="5"/>
  <c r="K167" i="5" s="1"/>
  <c r="B168" i="5"/>
  <c r="K168" i="5" s="1"/>
  <c r="B169" i="5"/>
  <c r="K169" i="5" s="1"/>
  <c r="B170" i="5"/>
  <c r="K170" i="5" s="1"/>
  <c r="B171" i="5"/>
  <c r="K171" i="5" s="1"/>
  <c r="B172" i="5"/>
  <c r="K172" i="5" s="1"/>
  <c r="B173" i="5"/>
  <c r="K173" i="5" s="1"/>
  <c r="B174" i="5"/>
  <c r="K174" i="5" s="1"/>
  <c r="B175" i="5"/>
  <c r="K175" i="5" s="1"/>
  <c r="B176" i="5"/>
  <c r="K176" i="5" s="1"/>
  <c r="B177" i="5"/>
  <c r="K177" i="5" s="1"/>
  <c r="B178" i="5"/>
  <c r="K178" i="5" s="1"/>
  <c r="B179" i="5"/>
  <c r="K179" i="5" s="1"/>
  <c r="B180" i="5"/>
  <c r="K180" i="5" s="1"/>
  <c r="B181" i="5"/>
  <c r="K181" i="5" s="1"/>
  <c r="B182" i="5"/>
  <c r="K182" i="5" s="1"/>
  <c r="B183" i="5"/>
  <c r="K183" i="5" s="1"/>
  <c r="B184" i="5"/>
  <c r="K184" i="5" s="1"/>
  <c r="B185" i="5"/>
  <c r="K185" i="5" s="1"/>
  <c r="B186" i="5"/>
  <c r="K186" i="5" s="1"/>
  <c r="B187" i="5"/>
  <c r="K187" i="5" s="1"/>
  <c r="B188" i="5"/>
  <c r="K188" i="5" s="1"/>
  <c r="B189" i="5"/>
  <c r="K189" i="5" s="1"/>
  <c r="B190" i="5"/>
  <c r="K190" i="5" s="1"/>
  <c r="B191" i="5"/>
  <c r="K191" i="5" s="1"/>
  <c r="B192" i="5"/>
  <c r="K192" i="5" s="1"/>
  <c r="B193" i="5"/>
  <c r="K193" i="5" s="1"/>
  <c r="B194" i="5"/>
  <c r="K194" i="5" s="1"/>
  <c r="B195" i="5"/>
  <c r="K195" i="5" s="1"/>
  <c r="B196" i="5"/>
  <c r="K196" i="5" s="1"/>
  <c r="B197" i="5"/>
  <c r="K197" i="5" s="1"/>
  <c r="B198" i="5"/>
  <c r="K198" i="5" s="1"/>
  <c r="B199" i="5"/>
  <c r="K199" i="5" s="1"/>
  <c r="B200" i="5"/>
  <c r="K200" i="5" s="1"/>
  <c r="B201" i="5"/>
  <c r="K201" i="5" s="1"/>
  <c r="B202" i="5"/>
  <c r="K202" i="5" s="1"/>
  <c r="B203" i="5"/>
  <c r="K203" i="5" s="1"/>
  <c r="B204" i="5"/>
  <c r="K204" i="5" s="1"/>
  <c r="B205" i="5"/>
  <c r="K205" i="5" s="1"/>
  <c r="B206" i="5"/>
  <c r="K206" i="5" s="1"/>
  <c r="B207" i="5"/>
  <c r="K207" i="5" s="1"/>
  <c r="B208" i="5"/>
  <c r="K208" i="5" s="1"/>
  <c r="O79" i="3"/>
  <c r="N79" i="3"/>
  <c r="M79" i="3"/>
  <c r="L79" i="3"/>
  <c r="K79" i="3"/>
  <c r="J79" i="3"/>
  <c r="I79" i="3"/>
  <c r="H79" i="3"/>
  <c r="G79" i="3"/>
  <c r="F79" i="3"/>
  <c r="E79" i="3"/>
  <c r="D79" i="3"/>
  <c r="P78" i="3"/>
  <c r="C78" i="3"/>
  <c r="B78" i="3"/>
  <c r="P77" i="3"/>
  <c r="C77" i="3"/>
  <c r="B77" i="3"/>
  <c r="P76" i="3"/>
  <c r="C76" i="3"/>
  <c r="B76" i="3"/>
  <c r="P75" i="3"/>
  <c r="C75" i="3"/>
  <c r="B75" i="3"/>
  <c r="P74" i="3"/>
  <c r="C74" i="3"/>
  <c r="B74" i="3"/>
  <c r="P73" i="3"/>
  <c r="C73" i="3"/>
  <c r="B73" i="3"/>
  <c r="P72" i="3"/>
  <c r="C72" i="3"/>
  <c r="B72" i="3"/>
  <c r="P71" i="3"/>
  <c r="C71" i="3"/>
  <c r="B71" i="3"/>
  <c r="P70" i="3"/>
  <c r="C70" i="3"/>
  <c r="B70" i="3"/>
  <c r="P69" i="3"/>
  <c r="C69" i="3"/>
  <c r="B69" i="3"/>
  <c r="P68" i="3"/>
  <c r="C68" i="3"/>
  <c r="B68" i="3"/>
  <c r="P67" i="3"/>
  <c r="C67" i="3"/>
  <c r="B67" i="3"/>
  <c r="P66" i="3"/>
  <c r="C66" i="3"/>
  <c r="B66" i="3"/>
  <c r="P65" i="3"/>
  <c r="C65" i="3"/>
  <c r="B65" i="3"/>
  <c r="P64" i="3"/>
  <c r="C64" i="3"/>
  <c r="B64" i="3"/>
  <c r="P63" i="3"/>
  <c r="C63" i="3"/>
  <c r="B63" i="3"/>
  <c r="P62" i="3"/>
  <c r="C62" i="3"/>
  <c r="B62" i="3"/>
  <c r="P61" i="3"/>
  <c r="C61" i="3"/>
  <c r="B61" i="3"/>
  <c r="P60" i="3"/>
  <c r="C60" i="3"/>
  <c r="B60" i="3"/>
  <c r="P59" i="3"/>
  <c r="C59" i="3"/>
  <c r="B59" i="3"/>
  <c r="P58" i="3"/>
  <c r="C58" i="3"/>
  <c r="B58" i="3"/>
  <c r="P57" i="3"/>
  <c r="C57" i="3"/>
  <c r="B57" i="3"/>
  <c r="P56" i="3"/>
  <c r="C56" i="3"/>
  <c r="B56" i="3"/>
  <c r="P55" i="3"/>
  <c r="C55" i="3"/>
  <c r="B55" i="3"/>
  <c r="P54" i="3"/>
  <c r="C54" i="3"/>
  <c r="B54" i="3"/>
  <c r="P53" i="3"/>
  <c r="C53" i="3"/>
  <c r="B53" i="3"/>
  <c r="P52" i="3"/>
  <c r="C52" i="3"/>
  <c r="B52" i="3"/>
  <c r="P51" i="3"/>
  <c r="C51" i="3"/>
  <c r="B51" i="3"/>
  <c r="P50" i="3"/>
  <c r="C50" i="3"/>
  <c r="B50" i="3"/>
  <c r="P49" i="3"/>
  <c r="C49" i="3"/>
  <c r="B49" i="3"/>
  <c r="P48" i="3"/>
  <c r="C48" i="3"/>
  <c r="B48" i="3"/>
  <c r="P47" i="3"/>
  <c r="C47" i="3"/>
  <c r="B47" i="3"/>
  <c r="P46" i="3"/>
  <c r="C46" i="3"/>
  <c r="B46" i="3"/>
  <c r="P45" i="3"/>
  <c r="C45" i="3"/>
  <c r="B45" i="3"/>
  <c r="P44" i="3"/>
  <c r="C44" i="3"/>
  <c r="B44" i="3"/>
  <c r="P43" i="3"/>
  <c r="C43" i="3"/>
  <c r="B43" i="3"/>
  <c r="P42" i="3"/>
  <c r="C42" i="3"/>
  <c r="B42" i="3"/>
  <c r="P41" i="3"/>
  <c r="C41" i="3"/>
  <c r="B41" i="3"/>
  <c r="P40" i="3"/>
  <c r="C40" i="3"/>
  <c r="B40" i="3"/>
  <c r="P39" i="3"/>
  <c r="C39" i="3"/>
  <c r="B39" i="3"/>
  <c r="P38" i="3"/>
  <c r="C38" i="3"/>
  <c r="B38" i="3"/>
  <c r="P37" i="3"/>
  <c r="C37" i="3"/>
  <c r="B37" i="3"/>
  <c r="P36" i="3"/>
  <c r="C36" i="3"/>
  <c r="B36" i="3"/>
  <c r="P35" i="3"/>
  <c r="C35" i="3"/>
  <c r="B35" i="3"/>
  <c r="P34" i="3"/>
  <c r="C34" i="3"/>
  <c r="B34" i="3"/>
  <c r="P33" i="3"/>
  <c r="C33" i="3"/>
  <c r="B33" i="3"/>
  <c r="P32" i="3"/>
  <c r="C32" i="3"/>
  <c r="B32" i="3"/>
  <c r="P31" i="3"/>
  <c r="C31" i="3"/>
  <c r="B31" i="3"/>
  <c r="P30" i="3"/>
  <c r="C30" i="3"/>
  <c r="B30" i="3"/>
  <c r="P29" i="3"/>
  <c r="C29" i="3"/>
  <c r="B29" i="3"/>
  <c r="P28" i="3"/>
  <c r="C28" i="3"/>
  <c r="B28" i="3"/>
  <c r="P27" i="3"/>
  <c r="C27" i="3"/>
  <c r="B27" i="3"/>
  <c r="P26" i="3"/>
  <c r="C26" i="3"/>
  <c r="B26" i="3"/>
  <c r="P25" i="3"/>
  <c r="C25" i="3"/>
  <c r="B25" i="3"/>
  <c r="P24" i="3"/>
  <c r="C24" i="3"/>
  <c r="B24" i="3"/>
  <c r="P23" i="3"/>
  <c r="C23" i="3"/>
  <c r="B23" i="3"/>
  <c r="P22" i="3"/>
  <c r="C22" i="3"/>
  <c r="B22" i="3"/>
  <c r="P21" i="3"/>
  <c r="C21" i="3"/>
  <c r="B21" i="3"/>
  <c r="P20" i="3"/>
  <c r="C20" i="3"/>
  <c r="B20" i="3"/>
  <c r="P19" i="3"/>
  <c r="C19" i="3"/>
  <c r="B19" i="3"/>
  <c r="P18" i="3"/>
  <c r="C18" i="3"/>
  <c r="B18" i="3"/>
  <c r="P17" i="3"/>
  <c r="C17" i="3"/>
  <c r="B17" i="3"/>
  <c r="P16" i="3"/>
  <c r="C16" i="3"/>
  <c r="B16" i="3"/>
  <c r="P15" i="3"/>
  <c r="C15" i="3"/>
  <c r="B15" i="3"/>
  <c r="P14" i="3"/>
  <c r="C14" i="3"/>
  <c r="B14" i="3"/>
  <c r="P13" i="3"/>
  <c r="C13" i="3"/>
  <c r="B13" i="3"/>
  <c r="P12" i="3"/>
  <c r="C12" i="3"/>
  <c r="B12" i="3"/>
  <c r="P11" i="3"/>
  <c r="C11" i="3"/>
  <c r="B11" i="3"/>
  <c r="P10" i="3"/>
  <c r="C10" i="3"/>
  <c r="B10" i="3"/>
  <c r="P9" i="3"/>
  <c r="C9" i="3"/>
  <c r="B9" i="3"/>
  <c r="P8" i="3"/>
  <c r="C8" i="3"/>
  <c r="B8" i="3"/>
  <c r="P7" i="3"/>
  <c r="C7" i="3"/>
  <c r="B7" i="3"/>
  <c r="P6" i="3"/>
  <c r="C6" i="3"/>
  <c r="B6" i="3"/>
  <c r="P5" i="3"/>
  <c r="P79" i="3" s="1"/>
  <c r="C5" i="3"/>
  <c r="B5" i="3"/>
  <c r="E22" i="13"/>
  <c r="G9" i="13"/>
  <c r="G11" i="13"/>
  <c r="E30" i="13"/>
  <c r="E23" i="13"/>
  <c r="G12" i="13"/>
  <c r="B47" i="13"/>
  <c r="G5" i="13"/>
  <c r="E31" i="13"/>
  <c r="E25" i="13"/>
  <c r="E29" i="13"/>
  <c r="G13" i="13"/>
  <c r="E24" i="13"/>
  <c r="E33" i="13"/>
  <c r="E32" i="13"/>
  <c r="E28" i="13"/>
  <c r="G6" i="13"/>
  <c r="G14" i="13"/>
  <c r="G15" i="13"/>
  <c r="E26" i="13"/>
  <c r="G10" i="13"/>
  <c r="E21" i="13"/>
  <c r="G7" i="13"/>
  <c r="G8" i="13"/>
  <c r="E27" i="13"/>
  <c r="G16" i="13"/>
  <c r="D45" i="13" l="1"/>
  <c r="B48" i="13"/>
  <c r="B50" i="13" s="1"/>
  <c r="E49" i="13" s="1"/>
  <c r="E45" i="13"/>
  <c r="B73" i="13"/>
  <c r="C73" i="13" s="1"/>
  <c r="E72" i="13"/>
  <c r="D60" i="13"/>
  <c r="E63" i="13"/>
  <c r="D72" i="13"/>
  <c r="G28" i="13"/>
  <c r="G27" i="13"/>
  <c r="G26" i="13"/>
  <c r="B51" i="13"/>
  <c r="C51" i="13" s="1"/>
  <c r="B49" i="13"/>
  <c r="C47" i="13"/>
  <c r="G33" i="13"/>
  <c r="G25" i="13"/>
  <c r="J12" i="13"/>
  <c r="J11" i="13"/>
  <c r="J10" i="13"/>
  <c r="J8" i="13"/>
  <c r="J15" i="13"/>
  <c r="G32" i="13"/>
  <c r="G24" i="13"/>
  <c r="G31" i="13"/>
  <c r="G23" i="13"/>
  <c r="J9" i="13"/>
  <c r="J16" i="13"/>
  <c r="J7" i="13"/>
  <c r="J14" i="13"/>
  <c r="J6" i="13"/>
  <c r="J13" i="13"/>
  <c r="K5" i="13"/>
  <c r="K13" i="13"/>
  <c r="K6" i="13"/>
  <c r="K14" i="13"/>
  <c r="K7" i="13"/>
  <c r="K15" i="13"/>
  <c r="K8" i="13"/>
  <c r="K16" i="13"/>
  <c r="J5" i="13"/>
  <c r="K10" i="13"/>
  <c r="K11" i="13"/>
  <c r="K12" i="13"/>
  <c r="K9" i="13"/>
  <c r="B53" i="13"/>
  <c r="B54" i="13" s="1"/>
  <c r="G30" i="13"/>
  <c r="G22" i="13"/>
  <c r="G29" i="13"/>
  <c r="G21" i="13"/>
  <c r="D32" i="13"/>
  <c r="F32" i="13" s="1"/>
  <c r="D24" i="13"/>
  <c r="F24" i="13" s="1"/>
  <c r="D61" i="13"/>
  <c r="D31" i="13"/>
  <c r="F31" i="13" s="1"/>
  <c r="D23" i="13"/>
  <c r="F23" i="13" s="1"/>
  <c r="D30" i="13"/>
  <c r="F30" i="13" s="1"/>
  <c r="D22" i="13"/>
  <c r="F22" i="13" s="1"/>
  <c r="C45" i="13"/>
  <c r="D29" i="13"/>
  <c r="F29" i="13" s="1"/>
  <c r="D21" i="13"/>
  <c r="F21" i="13" s="1"/>
  <c r="E60" i="13"/>
  <c r="D28" i="13"/>
  <c r="F28" i="13" s="1"/>
  <c r="E71" i="13"/>
  <c r="D27" i="13"/>
  <c r="F27" i="13" s="1"/>
  <c r="D26" i="13"/>
  <c r="F26" i="13" s="1"/>
  <c r="D33" i="13"/>
  <c r="F33" i="13" s="1"/>
  <c r="K5" i="5"/>
  <c r="D51" i="13" l="1"/>
  <c r="E51" i="13"/>
  <c r="E52" i="13"/>
  <c r="E47" i="13"/>
  <c r="B52" i="13"/>
  <c r="C52" i="13" s="1"/>
  <c r="D47" i="13"/>
  <c r="C49" i="13"/>
  <c r="D49" i="13"/>
  <c r="D52" i="13" l="1"/>
</calcChain>
</file>

<file path=xl/sharedStrings.xml><?xml version="1.0" encoding="utf-8"?>
<sst xmlns="http://schemas.openxmlformats.org/spreadsheetml/2006/main" count="953" uniqueCount="288">
  <si>
    <t>JAN</t>
  </si>
  <si>
    <t>Previsto</t>
  </si>
  <si>
    <t>Real</t>
  </si>
  <si>
    <t>Diferença</t>
  </si>
  <si>
    <t>Despesas</t>
  </si>
  <si>
    <t>Saldo</t>
  </si>
  <si>
    <t>Código</t>
  </si>
  <si>
    <t>Subcategoria</t>
  </si>
  <si>
    <t>Moradia</t>
  </si>
  <si>
    <t>Alimentação</t>
  </si>
  <si>
    <t>Comunicação</t>
  </si>
  <si>
    <t>Saúde e Cuidados</t>
  </si>
  <si>
    <t>Vestuário</t>
  </si>
  <si>
    <t>Transporte</t>
  </si>
  <si>
    <t>Educação</t>
  </si>
  <si>
    <t>Lazer</t>
  </si>
  <si>
    <t>Casa (Artigos)</t>
  </si>
  <si>
    <t>Outros</t>
  </si>
  <si>
    <t>Cartões e Dívidas</t>
  </si>
  <si>
    <t>Financeiro</t>
  </si>
  <si>
    <t>Investimentos</t>
  </si>
  <si>
    <t>Grupo</t>
  </si>
  <si>
    <t>Grupos</t>
  </si>
  <si>
    <t>Caixa de Emergência</t>
  </si>
  <si>
    <t>Despesas Fixas Inevitáveis</t>
  </si>
  <si>
    <t>DAS (Jhenis)</t>
  </si>
  <si>
    <t>Emergência Casa</t>
  </si>
  <si>
    <t>Energia</t>
  </si>
  <si>
    <t>Água</t>
  </si>
  <si>
    <t>Gás</t>
  </si>
  <si>
    <t>Outras Despesas</t>
  </si>
  <si>
    <t>Supermercado</t>
  </si>
  <si>
    <t>Restaurante</t>
  </si>
  <si>
    <t>Café / Almoço</t>
  </si>
  <si>
    <t>Pedidos iFood</t>
  </si>
  <si>
    <t>Celular</t>
  </si>
  <si>
    <t>Internet</t>
  </si>
  <si>
    <t>Streaming (outros)</t>
  </si>
  <si>
    <t>Netflix</t>
  </si>
  <si>
    <t>Amazon Prime</t>
  </si>
  <si>
    <t>Max</t>
  </si>
  <si>
    <t>Academia</t>
  </si>
  <si>
    <t>Emergência Médica</t>
  </si>
  <si>
    <t>Emergência Dentista</t>
  </si>
  <si>
    <t>Cosméticos</t>
  </si>
  <si>
    <t>Dentista</t>
  </si>
  <si>
    <t>Exames Médicos</t>
  </si>
  <si>
    <t>Farmácia</t>
  </si>
  <si>
    <t>Médico Particular</t>
  </si>
  <si>
    <t>Suplementos</t>
  </si>
  <si>
    <t>Outros Saúde</t>
  </si>
  <si>
    <t>Roupas</t>
  </si>
  <si>
    <t>Sapatos</t>
  </si>
  <si>
    <t>Outros Vestuário</t>
  </si>
  <si>
    <t>Aplicativos (Uber / 99)</t>
  </si>
  <si>
    <t>Transporte Público</t>
  </si>
  <si>
    <t>Transporte Trabalho (Jhenis)</t>
  </si>
  <si>
    <t>Transporte Trabalho (Matheus)</t>
  </si>
  <si>
    <t>Caixa Carro (Jhenis)</t>
  </si>
  <si>
    <t>Caixa Carro (Matheus)</t>
  </si>
  <si>
    <t>Outros Transporte</t>
  </si>
  <si>
    <t>Mensalidades</t>
  </si>
  <si>
    <t>Idiomas</t>
  </si>
  <si>
    <t>CNH (Matheus)</t>
  </si>
  <si>
    <t>Cursos</t>
  </si>
  <si>
    <t>Livros</t>
  </si>
  <si>
    <t>Faculdade (Jhenis)</t>
  </si>
  <si>
    <t>Outros Educação</t>
  </si>
  <si>
    <t>Cinema</t>
  </si>
  <si>
    <t>Esportes</t>
  </si>
  <si>
    <t>Shows / Concertos</t>
  </si>
  <si>
    <t>Viagens / Férias</t>
  </si>
  <si>
    <t>Outros Lazer</t>
  </si>
  <si>
    <t>Cama</t>
  </si>
  <si>
    <t>Consertos Futuros</t>
  </si>
  <si>
    <t>Geladeira</t>
  </si>
  <si>
    <t>Lava e Seca</t>
  </si>
  <si>
    <t>Lava-louças</t>
  </si>
  <si>
    <t>Utensílios e Decoração</t>
  </si>
  <si>
    <t>Outros Artigos</t>
  </si>
  <si>
    <t>Presentes</t>
  </si>
  <si>
    <t>Doações</t>
  </si>
  <si>
    <t>Ensaio</t>
  </si>
  <si>
    <t>Cartão Jhenismara</t>
  </si>
  <si>
    <t>Cartão Matheus</t>
  </si>
  <si>
    <t>Casas Bahia (Matheus)</t>
  </si>
  <si>
    <t>Faculdade (Matheus)</t>
  </si>
  <si>
    <t>Magalu (Matheus)</t>
  </si>
  <si>
    <t>Vivo (Matheus)</t>
  </si>
  <si>
    <t>Investimentos Mensais</t>
  </si>
  <si>
    <t>Cartas de Crédito</t>
  </si>
  <si>
    <t>Outros Financeiro</t>
  </si>
  <si>
    <t>Renda Variável</t>
  </si>
  <si>
    <t>Fundos Imobiliários</t>
  </si>
  <si>
    <t>Ações Baixo Risco</t>
  </si>
  <si>
    <t>Ações Alto Risco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</si>
  <si>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</si>
  <si>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</si>
  <si>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</si>
  <si>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</si>
  <si>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</si>
  <si>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</si>
  <si>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</si>
  <si>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</si>
  <si>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</si>
  <si>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</si>
  <si>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</si>
  <si>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Ano</t>
  </si>
  <si>
    <t>TOTAL PREVISTO</t>
  </si>
  <si>
    <t>Mês</t>
  </si>
  <si>
    <t>Fonte</t>
  </si>
  <si>
    <t>Renda 1</t>
  </si>
  <si>
    <t>Renda 2</t>
  </si>
  <si>
    <t>Renda Extra – Comissões</t>
  </si>
  <si>
    <t>Renda Extra – Projetos</t>
  </si>
  <si>
    <t>Data</t>
  </si>
  <si>
    <t>Descrição</t>
  </si>
  <si>
    <t>Valor</t>
  </si>
  <si>
    <t>Pagamento</t>
  </si>
  <si>
    <t>Responsável</t>
  </si>
  <si>
    <t>Origem</t>
  </si>
  <si>
    <t>Energia – valor mensal</t>
  </si>
  <si>
    <t>Migrado</t>
  </si>
  <si>
    <t>Água – valor mensal</t>
  </si>
  <si>
    <t>Gás – valor mensal</t>
  </si>
  <si>
    <t>Supermercado – valor mensal</t>
  </si>
  <si>
    <t>Restaurante – valor mensal</t>
  </si>
  <si>
    <t>Café / Almoço – valor mensal</t>
  </si>
  <si>
    <t>Celular – valor mensal</t>
  </si>
  <si>
    <t>Internet – valor mensal</t>
  </si>
  <si>
    <t>Streaming (outros) – valor mensal</t>
  </si>
  <si>
    <t>Netflix – valor mensal</t>
  </si>
  <si>
    <t>Amazon Prime – valor mensal</t>
  </si>
  <si>
    <t>Max – valor mensal</t>
  </si>
  <si>
    <t>Aplicativos (Uber / 99) – valor mensal</t>
  </si>
  <si>
    <t>Transporte Trabalho (Jhenis) – valor mensal</t>
  </si>
  <si>
    <t>Transporte Trabalho (Matheus) – valor mensal</t>
  </si>
  <si>
    <t>Cartão Jhenismara – valor mensal</t>
  </si>
  <si>
    <t>Cartão Matheus – valor mensal</t>
  </si>
  <si>
    <t>Mês Ref</t>
  </si>
  <si>
    <t>Lista</t>
  </si>
  <si>
    <t>Categoria</t>
  </si>
  <si>
    <t>Pix</t>
  </si>
  <si>
    <t>Crédito</t>
  </si>
  <si>
    <t>Matheus</t>
  </si>
  <si>
    <t>Casa</t>
  </si>
  <si>
    <t>Rótulos de Linha</t>
  </si>
  <si>
    <t>Total Geral</t>
  </si>
  <si>
    <t>01-JAN</t>
  </si>
  <si>
    <t>02-FEV</t>
  </si>
  <si>
    <t>03-MAR</t>
  </si>
  <si>
    <t>04-ABR</t>
  </si>
  <si>
    <t>05-MAI</t>
  </si>
  <si>
    <t>06-JUN</t>
  </si>
  <si>
    <t>07-JUL</t>
  </si>
  <si>
    <t>08-AGO</t>
  </si>
  <si>
    <t>09-SET</t>
  </si>
  <si>
    <t>10-OUT</t>
  </si>
  <si>
    <t>11-NOV</t>
  </si>
  <si>
    <t>12-DEZ</t>
  </si>
  <si>
    <t>Gasto no mês</t>
  </si>
  <si>
    <t>Gasto por grupo</t>
  </si>
  <si>
    <t>Renda</t>
  </si>
  <si>
    <t>Realizado</t>
  </si>
  <si>
    <t>Ano</t>
  </si>
  <si>
    <t>Gasto</t>
  </si>
  <si>
    <t>Não informado</t>
  </si>
  <si>
    <t>Rótulo</t>
  </si>
  <si>
    <t>Ref</t>
  </si>
  <si>
    <t>Filtro</t>
  </si>
  <si>
    <t>Renda prev.</t>
  </si>
  <si>
    <t>Despesa</t>
  </si>
  <si>
    <t>gRenda</t>
  </si>
  <si>
    <t>gDespesa</t>
  </si>
  <si>
    <t>gSaldoAcum</t>
  </si>
  <si>
    <t>gPrevisto</t>
  </si>
  <si>
    <t>gRealizado</t>
  </si>
  <si>
    <t>Qtde grupos</t>
  </si>
  <si>
    <t>Indicador</t>
  </si>
  <si>
    <t>Texto</t>
  </si>
  <si>
    <t>Situação</t>
  </si>
  <si>
    <t>Comparação</t>
  </si>
  <si>
    <t>Renda prevista</t>
  </si>
  <si>
    <t>Despesa prevista</t>
  </si>
  <si>
    <t>Saldo previsto</t>
  </si>
  <si>
    <t>% renda gasta</t>
  </si>
  <si>
    <t>% orçamento</t>
  </si>
  <si>
    <t>Meses com gasto</t>
  </si>
  <si>
    <t>Média mensal</t>
  </si>
  <si>
    <t>Problemas</t>
  </si>
  <si>
    <t>Período</t>
  </si>
  <si>
    <t>Novo gasto</t>
  </si>
  <si>
    <t>Nova categoria</t>
  </si>
  <si>
    <t>Previsto/mês</t>
  </si>
  <si>
    <t>Nova renda</t>
  </si>
  <si>
    <t>Última ação</t>
  </si>
  <si>
    <t>Dia de vencimento padrão</t>
  </si>
  <si>
    <t>Aberta</t>
  </si>
  <si>
    <t>Mensal</t>
  </si>
  <si>
    <t>Sim</t>
  </si>
  <si>
    <t>Não</t>
  </si>
  <si>
    <t>Fixa</t>
  </si>
  <si>
    <t>Vencimento</t>
  </si>
  <si>
    <t>Recorrência</t>
  </si>
  <si>
    <t>Status</t>
  </si>
  <si>
    <t>Pago em</t>
  </si>
  <si>
    <t>Meta</t>
  </si>
  <si>
    <t>Alvo</t>
  </si>
  <si>
    <t>Prazo</t>
  </si>
  <si>
    <t>Acumulado</t>
  </si>
  <si>
    <t>% concluído</t>
  </si>
  <si>
    <t>Falta</t>
  </si>
  <si>
    <t>Aporte mensal</t>
  </si>
  <si>
    <t>Rótulos de Coluna</t>
  </si>
  <si>
    <t>Total</t>
  </si>
  <si>
    <t>Em aberto</t>
  </si>
  <si>
    <t>Vencidas (valor)</t>
  </si>
  <si>
    <t>Vencidas (qtd)</t>
  </si>
  <si>
    <t>7 dias (valor)</t>
  </si>
  <si>
    <t>7 dias (qtd)</t>
  </si>
  <si>
    <t>Pagas</t>
  </si>
  <si>
    <t>Qtd aberta</t>
  </si>
  <si>
    <t>% geral</t>
  </si>
  <si>
    <t>Despesas por grupo e mês</t>
  </si>
  <si>
    <t xml:space="preserve">Total </t>
  </si>
  <si>
    <t>Grupo / Subcategoria</t>
  </si>
  <si>
    <t>Participação e ticket médio por grupo</t>
  </si>
  <si>
    <t xml:space="preserve">Total  </t>
  </si>
  <si>
    <t>% do total</t>
  </si>
  <si>
    <t>Lançamentos</t>
  </si>
  <si>
    <t>Ticket médio</t>
  </si>
  <si>
    <t>Por responsável e forma de pagamento</t>
  </si>
  <si>
    <t xml:space="preserve">Total   </t>
  </si>
  <si>
    <t>Conta fixa?</t>
  </si>
  <si>
    <t>Valor do aporte</t>
  </si>
  <si>
    <t>Palavra-chave</t>
  </si>
  <si>
    <t>IFOOD</t>
  </si>
  <si>
    <t>RAPPI</t>
  </si>
  <si>
    <t>UBER</t>
  </si>
  <si>
    <t>99APP</t>
  </si>
  <si>
    <t>99 POP</t>
  </si>
  <si>
    <t>NETFLIX</t>
  </si>
  <si>
    <t>PRIME VIDEO</t>
  </si>
  <si>
    <t>AMAZON PRIME</t>
  </si>
  <si>
    <t>HBO</t>
  </si>
  <si>
    <t>MAX.COM</t>
  </si>
  <si>
    <t>SPOTIFY</t>
  </si>
  <si>
    <t>DEEZER</t>
  </si>
  <si>
    <t>YOUTUBE</t>
  </si>
  <si>
    <t>SUPERMERC</t>
  </si>
  <si>
    <t>ATACAD</t>
  </si>
  <si>
    <t>ASSAI</t>
  </si>
  <si>
    <t>CARREFOUR</t>
  </si>
  <si>
    <t>PAO DE ACUCAR</t>
  </si>
  <si>
    <t>HORTIFRUTI</t>
  </si>
  <si>
    <t>ACOUGUE</t>
  </si>
  <si>
    <t>PADARIA</t>
  </si>
  <si>
    <t>LANCHONETE</t>
  </si>
  <si>
    <t>RESTAURANTE</t>
  </si>
  <si>
    <t>DROGA</t>
  </si>
  <si>
    <t>FARMACIA</t>
  </si>
  <si>
    <t>DROGASIL</t>
  </si>
  <si>
    <t>RAIA</t>
  </si>
  <si>
    <t>ENEL</t>
  </si>
  <si>
    <t>CEMIG</t>
  </si>
  <si>
    <t>CPFL</t>
  </si>
  <si>
    <t>COPEL</t>
  </si>
  <si>
    <t>ENERGISA</t>
  </si>
  <si>
    <t>SABESP</t>
  </si>
  <si>
    <t>COPASA</t>
  </si>
  <si>
    <t>SANEPAR</t>
  </si>
  <si>
    <t>CEDAE</t>
  </si>
  <si>
    <t>ULTRAGAZ</t>
  </si>
  <si>
    <t>LIQUIGAS</t>
  </si>
  <si>
    <t>SUPERGASBRAS</t>
  </si>
  <si>
    <t>VIVO</t>
  </si>
  <si>
    <t>CLARO</t>
  </si>
  <si>
    <t>SMART FIT</t>
  </si>
  <si>
    <t>SMARTFIT</t>
  </si>
  <si>
    <t>ACADEMIA</t>
  </si>
  <si>
    <t>CINEMARK</t>
  </si>
  <si>
    <t>CINEMA</t>
  </si>
  <si>
    <t>INGRESSO</t>
  </si>
  <si>
    <t>RENNER</t>
  </si>
  <si>
    <t>RIACHUELO</t>
  </si>
  <si>
    <t>ZARA</t>
  </si>
  <si>
    <t>Importar e auditar</t>
  </si>
  <si>
    <t>JAN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</si>
</sst>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\R\$\ #,##0.00;[Red]\-\R\$\ #,##0.00;&quot;-&quot;"/>
    <numFmt numFmtId="165" formatCode="&quot;R$ &quot;#,##0.00"/>
    <numFmt numFmtId="166" formatCode="&quot;R$ &quot;#,##0"/>
    <numFmt numFmtId="167" formatCode="&quot;R$ &quot;#,##0;\-&quot;R$ &quot;#,##0;&quot;-&quot;"/>
    <numFmt numFmtId="168" formatCode="0.0%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5"/>
      <color rgb="FF1F2937"/>
      <name val="Segoe UI"/>
      <family val="2"/>
    </font>
    <font>
      <sz val="11"/>
      <color theme="1"/>
      <name val="Segoe UI"/>
      <family val="2"/>
    </font>
    <font>
      <b/>
      <sz val="12"/>
      <color rgb="FF1A202C"/>
      <name val="Segoe UI"/>
      <family val="2"/>
    </font>
    <font>
      <sz val="9"/>
      <color rgb="FF64748B"/>
      <name val="Segoe UI"/>
      <family val="2"/>
    </font>
    <font>
      <sz val="10"/>
      <color rgb="FF1A202C"/>
      <name val="Segoe UI"/>
      <family val="2"/>
    </font>
    <font>
      <sz val="8.5"/>
      <color rgb="FF64748B"/>
      <name val="Segoe UI"/>
      <family val="2"/>
    </font>
    <font>
      <i/>
      <sz val="9"/>
      <color rgb="FF595959"/>
      <name val="Segoe UI"/>
      <family val="2"/>
    </font>
    <font>
      <b/>
      <sz val="10"/>
      <color rgb="FFFFFFFF"/>
      <name val="Segoe UI"/>
      <family val="2"/>
    </font>
    <font>
      <sz val="10"/>
      <color rgb="FF0000FF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sz val="10"/>
      <color rgb="FF2A6FB8"/>
      <name val="Segoe UI"/>
      <family val="2"/>
    </font>
    <font>
      <b/>
      <sz val="11.5"/>
      <color rgb="FF1A202C"/>
      <name val="Segoe UI"/>
      <family val="2"/>
    </font>
    <font>
      <b/>
      <sz val="9"/>
      <color rgb="FF2E7D32"/>
      <name val="Segoe UI"/>
      <family val="2"/>
    </font>
    <font>
      <sz val="9.5"/>
      <color theme="1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FFF"/>
        <bgColor indexed="64"/>
      </patternFill>
    </fill>
    <fill>
      <patternFill patternType="solid">
        <fgColor rgb="FFF4F6F9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0B1F3A"/>
        <bgColor indexed="64"/>
      </patternFill>
    </fill>
    <fill>
      <patternFill patternType="solid">
        <fgColor rgb="FFE2E8F0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 style="thick">
        <color rgb="FF2A6FB8"/>
      </top>
      <bottom style="hair">
        <color rgb="FFE2E8F0"/>
      </bottom>
      <diagonal/>
    </border>
    <border>
      <left/>
      <right/>
      <top style="thick">
        <color rgb="FF2A6FB8"/>
      </top>
      <bottom style="hair">
        <color rgb="FFE2E8F0"/>
      </bottom>
      <diagonal/>
    </border>
    <border>
      <left/>
      <right style="thin">
        <color rgb="FFCBD5E1"/>
      </right>
      <top style="thick">
        <color rgb="FF2A6FB8"/>
      </top>
      <bottom style="hair">
        <color rgb="FFE2E8F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quotePrefix="1"/>
    <xf numFmtId="0" fontId="1" fillId="0" borderId="0" xfId="0" applyFont="1"/>
    <xf numFmtId="0" fontId="2" fillId="0" borderId="0" xfId="0" applyFont="1"/>
    <xf numFmtId="166" fontId="0" fillId="0" borderId="0" xfId="0" applyNumberFormat="1"/>
    <xf numFmtId="0" fontId="3" fillId="0" borderId="0" xfId="0" applyFont="1"/>
    <xf numFmtId="0" fontId="1" fillId="5" borderId="0" xfId="0" applyFont="1" applyFill="1"/>
    <xf numFmtId="0" fontId="4" fillId="5" borderId="0" xfId="0" applyFont="1" applyFill="1"/>
    <xf numFmtId="0" fontId="4" fillId="0" borderId="0" xfId="0" applyFont="1"/>
    <xf numFmtId="49" fontId="6" fillId="6" borderId="2" xfId="0" applyNumberFormat="1" applyFont="1" applyFill="1" applyBorder="1" applyAlignment="1" applyProtection="1">
      <alignment vertical="center"/>
      <protection locked="0"/>
    </xf>
    <xf numFmtId="165" fontId="6" fillId="6" borderId="2" xfId="0" applyNumberFormat="1" applyFont="1" applyFill="1" applyBorder="1" applyAlignment="1" applyProtection="1">
      <alignment vertical="center"/>
      <protection locked="0"/>
    </xf>
    <xf numFmtId="1" fontId="6" fillId="6" borderId="2" xfId="0" applyNumberFormat="1" applyFont="1" applyFill="1" applyBorder="1" applyAlignment="1" applyProtection="1">
      <alignment vertical="center"/>
      <protection locked="0"/>
    </xf>
    <xf numFmtId="0" fontId="7" fillId="5" borderId="0" xfId="0" applyFont="1" applyFill="1"/>
    <xf numFmtId="0" fontId="1" fillId="4" borderId="2" xfId="0" applyFont="1" applyFill="1" applyBorder="1"/>
    <xf numFmtId="0" fontId="1" fillId="4" borderId="2" xfId="0" applyFont="1" applyFill="1" applyBorder="1" applyAlignment="1">
      <alignment horizontal="center"/>
    </xf>
    <xf numFmtId="165" fontId="1" fillId="4" borderId="2" xfId="0" applyNumberFormat="1" applyFont="1" applyFill="1" applyBorder="1"/>
    <xf numFmtId="0" fontId="8" fillId="0" borderId="0" xfId="0" applyFont="1"/>
    <xf numFmtId="0" fontId="9" fillId="3" borderId="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4" fontId="10" fillId="0" borderId="0" xfId="0" applyNumberFormat="1" applyFont="1"/>
    <xf numFmtId="0" fontId="11" fillId="0" borderId="0" xfId="0" applyFont="1"/>
    <xf numFmtId="0" fontId="10" fillId="0" borderId="0" xfId="0" applyFont="1"/>
    <xf numFmtId="164" fontId="10" fillId="0" borderId="0" xfId="0" applyNumberFormat="1" applyFont="1"/>
    <xf numFmtId="0" fontId="11" fillId="0" borderId="1" xfId="0" applyFont="1" applyBorder="1"/>
    <xf numFmtId="0" fontId="10" fillId="0" borderId="1" xfId="0" applyFont="1" applyBorder="1"/>
    <xf numFmtId="164" fontId="10" fillId="0" borderId="1" xfId="0" applyNumberFormat="1" applyFont="1" applyBorder="1"/>
    <xf numFmtId="164" fontId="11" fillId="0" borderId="1" xfId="0" applyNumberFormat="1" applyFont="1" applyBorder="1"/>
    <xf numFmtId="0" fontId="9" fillId="7" borderId="1" xfId="0" applyFont="1" applyFill="1" applyBorder="1" applyAlignment="1">
      <alignment horizontal="center" vertical="center"/>
    </xf>
    <xf numFmtId="0" fontId="12" fillId="0" borderId="3" xfId="0" applyFont="1" applyBorder="1"/>
    <xf numFmtId="0" fontId="11" fillId="0" borderId="3" xfId="0" applyFont="1" applyBorder="1"/>
    <xf numFmtId="164" fontId="13" fillId="6" borderId="3" xfId="0" applyNumberFormat="1" applyFont="1" applyFill="1" applyBorder="1"/>
    <xf numFmtId="164" fontId="12" fillId="2" borderId="3" xfId="0" applyNumberFormat="1" applyFont="1" applyFill="1" applyBorder="1"/>
    <xf numFmtId="0" fontId="3" fillId="0" borderId="3" xfId="0" applyFont="1" applyBorder="1"/>
    <xf numFmtId="0" fontId="12" fillId="8" borderId="3" xfId="0" applyFont="1" applyFill="1" applyBorder="1"/>
    <xf numFmtId="164" fontId="12" fillId="8" borderId="3" xfId="0" applyNumberFormat="1" applyFont="1" applyFill="1" applyBorder="1"/>
    <xf numFmtId="0" fontId="9" fillId="7" borderId="0" xfId="0" applyFont="1" applyFill="1" applyAlignment="1">
      <alignment horizontal="center" vertical="center"/>
    </xf>
    <xf numFmtId="0" fontId="1" fillId="4" borderId="4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0" fontId="1" fillId="4" borderId="10" xfId="0" applyFont="1" applyFill="1" applyBorder="1"/>
    <xf numFmtId="0" fontId="1" fillId="4" borderId="11" xfId="0" applyFont="1" applyFill="1" applyBorder="1"/>
    <xf numFmtId="0" fontId="14" fillId="4" borderId="9" xfId="0" applyFont="1" applyFill="1" applyBorder="1" applyAlignment="1">
      <alignment horizontal="left" vertical="center" indent="1"/>
    </xf>
    <xf numFmtId="0" fontId="5" fillId="4" borderId="4" xfId="0" applyFont="1" applyFill="1" applyBorder="1" applyAlignment="1">
      <alignment horizontal="left" vertical="center" indent="1"/>
    </xf>
    <xf numFmtId="0" fontId="1" fillId="4" borderId="0" xfId="0" applyFont="1" applyFill="1"/>
    <xf numFmtId="14" fontId="6" fillId="6" borderId="2" xfId="0" applyNumberFormat="1" applyFont="1" applyFill="1" applyBorder="1" applyAlignment="1" applyProtection="1">
      <alignment vertical="center"/>
      <protection locked="0"/>
    </xf>
    <xf numFmtId="0" fontId="7" fillId="4" borderId="0" xfId="0" applyFont="1" applyFill="1"/>
    <xf numFmtId="14" fontId="1" fillId="0" borderId="0" xfId="0" applyNumberFormat="1" applyFont="1"/>
    <xf numFmtId="165" fontId="1" fillId="0" borderId="0" xfId="0" applyNumberFormat="1" applyFont="1"/>
    <xf numFmtId="9" fontId="1" fillId="0" borderId="0" xfId="0" applyNumberFormat="1" applyFont="1"/>
    <xf numFmtId="14" fontId="1" fillId="4" borderId="2" xfId="0" applyNumberFormat="1" applyFont="1" applyFill="1" applyBorder="1"/>
    <xf numFmtId="0" fontId="15" fillId="4" borderId="4" xfId="0" applyFont="1" applyFill="1" applyBorder="1" applyAlignment="1">
      <alignment horizontal="left" vertical="top" wrapText="1" indent="1"/>
    </xf>
    <xf numFmtId="0" fontId="15" fillId="4" borderId="0" xfId="0" applyFont="1" applyFill="1" applyAlignment="1">
      <alignment horizontal="left" vertical="top" wrapText="1" indent="1"/>
    </xf>
    <xf numFmtId="0" fontId="16" fillId="0" borderId="0" xfId="0" pivotButton="1" applyFont="1"/>
    <xf numFmtId="0" fontId="16" fillId="0" borderId="0" xfId="0" applyFont="1"/>
    <xf numFmtId="0" fontId="16" fillId="0" borderId="0" xfId="0" applyFont="1" applyAlignment="1">
      <alignment horizontal="left"/>
    </xf>
    <xf numFmtId="166" fontId="16" fillId="0" borderId="0" xfId="0" applyNumberFormat="1" applyFont="1"/>
    <xf numFmtId="168" fontId="16" fillId="0" borderId="0" xfId="0" applyNumberFormat="1" applyFont="1"/>
    <xf numFmtId="1" fontId="16" fillId="0" borderId="0" xfId="0" applyNumberFormat="1" applyFont="1"/>
    <xf numFmtId="167" fontId="16" fillId="0" borderId="0" xfId="0" applyNumberFormat="1" applyFont="1"/>
  </cellXfs>
  <cellStyles count="1">
    <cellStyle name="Normal" xfId="0" builtinId="0"/>
  </cellStyles>
  <dxfs count="1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595959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name val="Segoe UI"/>
        <family val="2"/>
      </font>
    </dxf>
    <dxf>
      <font>
        <strike val="0"/>
        <outline val="0"/>
        <shadow val="0"/>
        <u val="none"/>
        <vertAlign val="baseline"/>
        <name val="Segoe UI"/>
        <family val="2"/>
      </font>
    </dxf>
    <dxf>
      <font>
        <strike val="0"/>
        <outline val="0"/>
        <shadow val="0"/>
        <u val="none"/>
        <vertAlign val="baseline"/>
        <name val="Segoe UI"/>
        <family val="2"/>
      </font>
    </dxf>
    <dxf>
      <font>
        <strike val="0"/>
        <outline val="0"/>
        <shadow val="0"/>
        <u val="none"/>
        <vertAlign val="baseline"/>
        <name val="Segoe UI"/>
        <family val="2"/>
      </font>
    </dxf>
    <dxf>
      <font>
        <strike val="0"/>
        <outline val="0"/>
        <shadow val="0"/>
        <u val="none"/>
        <vertAlign val="baseline"/>
        <name val="Segoe UI"/>
        <family val="2"/>
      </font>
    </dxf>
    <dxf>
      <font>
        <strike val="0"/>
        <outline val="0"/>
        <shadow val="0"/>
        <u val="none"/>
        <vertAlign val="baseline"/>
        <name val="Segoe UI"/>
        <family val="2"/>
      </font>
    </dxf>
    <dxf>
      <font>
        <strike val="0"/>
        <outline val="0"/>
        <shadow val="0"/>
        <u val="none"/>
        <vertAlign val="baseline"/>
        <name val="Segoe UI"/>
        <family val="2"/>
      </font>
    </dxf>
    <dxf>
      <font>
        <strike val="0"/>
        <outline val="0"/>
        <shadow val="0"/>
        <u val="none"/>
        <vertAlign val="baseline"/>
        <name val="Segoe UI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name val="Segoe UI"/>
        <family val="2"/>
        <scheme val="none"/>
      </font>
    </dxf>
    <dxf>
      <font>
        <b/>
        <color rgb="FF9C0006"/>
        <name val="Arial"/>
      </font>
      <fill>
        <patternFill patternType="solid">
          <fgColor rgb="FFF8CBAD"/>
        </patternFill>
      </fill>
    </dxf>
    <dxf>
      <fill>
        <patternFill patternType="solid">
          <fgColor rgb="FFFCE4D6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rgb="FFF4F6F9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5" formatCode="&quot;R$ &quot;#,##0.00"/>
      <fill>
        <patternFill patternType="none">
          <fgColor indexed="64"/>
          <bgColor rgb="FFF4F6F9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5" formatCode="&quot;R$ &quot;#,##0.00"/>
      <fill>
        <patternFill patternType="none">
          <fgColor indexed="64"/>
          <bgColor rgb="FFF4F6F9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3" formatCode="0%"/>
      <fill>
        <patternFill patternType="none">
          <fgColor indexed="64"/>
          <bgColor rgb="FFF4F6F9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5" formatCode="&quot;R$ &quot;#,##0.00"/>
      <fill>
        <patternFill patternType="none">
          <fgColor indexed="64"/>
          <bgColor rgb="FFF4F6F9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9" formatCode="dd/mm/yyyy"/>
      <fill>
        <patternFill patternType="none">
          <fgColor indexed="64"/>
          <bgColor rgb="FFF4F6F9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5" formatCode="&quot;R$ &quot;#,##0.00"/>
      <fill>
        <patternFill patternType="none">
          <fgColor indexed="64"/>
          <bgColor rgb="FFF4F6F9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rgb="FFF4F6F9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rgb="FFF4F6F9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rgb="FFF4F6F9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rgb="FFF4F6F9"/>
        </patternFill>
      </fill>
    </dxf>
    <dxf>
      <font>
        <b/>
        <i val="0"/>
        <color rgb="FF2E7D32"/>
      </font>
    </dxf>
    <dxf>
      <font>
        <b/>
        <i val="0"/>
        <color rgb="FFC62828"/>
      </font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rgb="FFF4F6F9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9" formatCode="dd/mm/yyyy"/>
      <fill>
        <patternFill patternType="none">
          <fgColor indexed="64"/>
          <bgColor rgb="FFF4F6F9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rgb="FFF4F6F9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rgb="FFF4F6F9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5" formatCode="&quot;R$ &quot;#,##0.00"/>
      <fill>
        <patternFill patternType="none">
          <fgColor indexed="64"/>
          <bgColor rgb="FFF4F6F9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rgb="FFF4F6F9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rgb="FFF4F6F9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rgb="FFF4F6F9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9" formatCode="dd/mm/yyyy"/>
      <fill>
        <patternFill patternType="none">
          <fgColor indexed="64"/>
          <bgColor rgb="FFF4F6F9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rgb="FFF4F6F9"/>
        </patternFill>
      </fill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none">
          <fgColor indexed="64"/>
          <bgColor rgb="FFF4F6F9"/>
        </patternFill>
      </fill>
    </dxf>
    <dxf>
      <font>
        <color rgb="FF2E7D32"/>
      </font>
    </dxf>
    <dxf>
      <font>
        <b/>
        <i val="0"/>
        <color rgb="FFB7791F"/>
      </font>
    </dxf>
    <dxf>
      <font>
        <b/>
        <i val="0"/>
        <color rgb="FFC62828"/>
      </font>
    </dxf>
    <dxf>
      <font>
        <sz val="9.5"/>
      </font>
    </dxf>
    <dxf>
      <font>
        <sz val="9.5"/>
      </font>
    </dxf>
    <dxf>
      <font>
        <sz val="9.5"/>
      </font>
    </dxf>
    <dxf>
      <font>
        <sz val="9.5"/>
      </font>
    </dxf>
    <dxf>
      <font>
        <sz val="9.5"/>
      </font>
    </dxf>
    <dxf>
      <font>
        <sz val="9.5"/>
      </font>
    </dxf>
    <dxf>
      <font>
        <sz val="9.5"/>
      </font>
    </dxf>
    <dxf>
      <font>
        <sz val="9.5"/>
      </font>
    </dxf>
    <dxf>
      <font>
        <sz val="9.5"/>
      </font>
    </dxf>
    <dxf>
      <font>
        <sz val="9.5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numFmt numFmtId="166" formatCode="&quot;R$ &quot;#,##0"/>
    </dxf>
    <dxf>
      <font>
        <sz val="9.5"/>
      </font>
    </dxf>
    <dxf>
      <font>
        <sz val="9.5"/>
      </font>
    </dxf>
    <dxf>
      <font>
        <sz val="9.5"/>
      </font>
    </dxf>
    <dxf>
      <font>
        <sz val="9.5"/>
      </font>
    </dxf>
    <dxf>
      <font>
        <sz val="9.5"/>
      </font>
    </dxf>
    <dxf>
      <font>
        <sz val="9.5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9.5"/>
      </font>
    </dxf>
    <dxf>
      <font>
        <sz val="9.5"/>
      </font>
    </dxf>
    <dxf>
      <font>
        <sz val="9.5"/>
      </font>
    </dxf>
    <dxf>
      <font>
        <sz val="9.5"/>
      </font>
    </dxf>
    <dxf>
      <font>
        <sz val="9.5"/>
      </font>
    </dxf>
    <dxf>
      <font>
        <sz val="9.5"/>
      </font>
    </dxf>
    <dxf>
      <font>
        <sz val="9.5"/>
      </font>
    </dxf>
    <dxf>
      <font>
        <sz val="9.5"/>
      </font>
    </dxf>
    <dxf>
      <font>
        <sz val="9.5"/>
      </font>
    </dxf>
    <dxf>
      <font>
        <sz val="9.5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numFmt numFmtId="167" formatCode="&quot;R$ &quot;#,##0;\-&quot;R$ &quot;#,##0;&quot;-&quot;"/>
    </dxf>
    <dxf>
      <numFmt numFmtId="166" formatCode="&quot;R$ &quot;#,##0"/>
    </dxf>
    <dxf>
      <numFmt numFmtId="166" formatCode="&quot;R$ &quot;#,##0"/>
    </dxf>
    <dxf>
      <numFmt numFmtId="166" formatCode="&quot;R$ &quot;#,##0"/>
    </dxf>
    <dxf>
      <numFmt numFmtId="166" formatCode="&quot;R$ &quot;#,##0"/>
    </dxf>
    <dxf>
      <font>
        <b/>
        <i val="0"/>
        <color rgb="FF0B1F3A"/>
      </font>
    </dxf>
    <dxf>
      <font>
        <b/>
        <i val="0"/>
      </font>
      <fill>
        <patternFill>
          <bgColor rgb="FFF1F5F9"/>
        </patternFill>
      </fill>
    </dxf>
    <dxf>
      <fill>
        <patternFill>
          <bgColor rgb="FFF8FAFC"/>
        </patternFill>
      </fill>
    </dxf>
    <dxf>
      <font>
        <b/>
        <i val="0"/>
      </font>
      <fill>
        <patternFill>
          <bgColor rgb="FFF1F5F9"/>
        </patternFill>
      </fill>
    </dxf>
    <dxf>
      <font>
        <b/>
        <i val="0"/>
        <color rgb="FF1A202C"/>
      </font>
      <fill>
        <patternFill>
          <bgColor rgb="FFE2E8F0"/>
        </patternFill>
      </fill>
    </dxf>
    <dxf>
      <font>
        <b/>
        <i val="0"/>
        <color rgb="FFFFFFFF"/>
      </font>
      <fill>
        <patternFill>
          <bgColor rgb="FF0B1F3A"/>
        </patternFill>
      </fill>
    </dxf>
    <dxf>
      <border>
        <bottom style="thin">
          <color rgb="FFE2E8F0"/>
        </bottom>
        <horizontal style="thin">
          <color rgb="FFE2E8F0"/>
        </horizontal>
      </border>
    </dxf>
    <dxf>
      <font>
        <b/>
        <i val="0"/>
        <color rgb="FF1A202C"/>
      </font>
    </dxf>
  </dxfs>
  <tableStyles count="2" defaultTableStyle="TableStyleMedium9" defaultPivotStyle="PivotStyleLight16">
    <tableStyle name="CO Filtro" pivot="0" table="0" count="7" xr9:uid="{747E7007-221C-434C-9EE8-19663C94D289}">
      <tableStyleElement type="headerRow" dxfId="129"/>
    </tableStyle>
    <tableStyle name="CO Tabela" count="7" xr9:uid="{91D3909E-0E86-4A04-8BC3-1E24321AD56A}">
      <tableStyleElement type="wholeTable" dxfId="128"/>
      <tableStyleElement type="headerRow" dxfId="127"/>
      <tableStyleElement type="totalRow" dxfId="126"/>
      <tableStyleElement type="lastColumn" dxfId="125"/>
      <tableStyleElement type="firstRowStripe" dxfId="124"/>
      <tableStyleElement type="firstSubtotalRow" dxfId="123"/>
      <tableStyleElement type="firstRowSubheading" dxfId="122"/>
    </tableStyle>
  </tableStyles>
  <extLst>
    <ext xmlns:x14="http://schemas.microsoft.com/office/spreadsheetml/2009/9/main" uri="{46F421CA-312F-682f-3DD2-61675219B42D}">
      <x14:dxfs count="6">
        <dxf>
          <font>
            <color rgb="FFFFFFFF"/>
          </font>
          <fill>
            <patternFill>
              <bgColor rgb="FF0B1F3A"/>
            </patternFill>
          </fill>
        </dxf>
        <dxf>
          <font>
            <color rgb="FF1A202C"/>
          </font>
          <fill>
            <patternFill>
              <bgColor rgb="FFF1F5F9"/>
            </patternFill>
          </fill>
        </dxf>
        <dxf>
          <font>
            <color rgb="FF64748B"/>
          </font>
          <fill>
            <patternFill>
              <bgColor rgb="FFCBD5E1"/>
            </patternFill>
          </fill>
        </dxf>
        <dxf>
          <font>
            <color rgb="FFFFFFFF"/>
          </font>
          <fill>
            <patternFill>
              <bgColor rgb="FF2A6FB8"/>
            </patternFill>
          </fill>
        </dxf>
        <dxf>
          <font>
            <color rgb="FFA0AAB9"/>
          </font>
          <fill>
            <patternFill>
              <bgColor rgb="FFF1F5F9"/>
            </patternFill>
          </fill>
        </dxf>
        <dxf>
          <font>
            <color rgb="FF1A202C"/>
          </font>
          <fill>
            <patternFill>
              <bgColor rgb="FFFFFFFF"/>
            </patternFill>
          </fill>
          <border>
            <left style="thin">
              <color rgb="FFE2E8F0"/>
            </left>
            <right style="thin">
              <color rgb="FFE2E8F0"/>
            </right>
            <top style="thin">
              <color rgb="FFE2E8F0"/>
            </top>
            <bottom style="thin">
              <color rgb="FFE2E8F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CO Filtro">
          <x14:slicerStyleElements>
            <x14:slicerStyleElement type="unselectedItemWithData" dxfId="5"/>
            <x14:slicerStyleElement type="unselectedItemWithNoData" dxfId="4"/>
            <x14:slicerStyleElement type="selectedItemWithData" dxfId="3"/>
            <x14:slicerStyleElement type="selectedItemWithNo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>
                <a:solidFill>
                  <a:srgbClr val="1A202C"/>
                </a:solidFill>
                <a:latin typeface="Segoe UI" panose="020B0502040204020203" pitchFamily="34" charset="0"/>
              </a:defRPr>
            </a:pPr>
            <a:r>
              <a:rPr lang="pt-BR" sz="1100" b="1">
                <a:solidFill>
                  <a:srgbClr val="1A202C"/>
                </a:solidFill>
                <a:latin typeface="Segoe UI" panose="020B0502040204020203" pitchFamily="34" charset="0"/>
              </a:rPr>
              <a:t>Renda x despesas por mês</a:t>
            </a:r>
          </a:p>
        </c:rich>
      </c:tx>
      <c:layout>
        <c:manualLayout>
          <c:xMode val="edge"/>
          <c:yMode val="edge"/>
          <c:x val="2.6666666666666668E-2"/>
          <c:y val="4.5801526717557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Renda</c:v>
          </c:tx>
          <c:spPr>
            <a:solidFill>
              <a:srgbClr val="2A6FB8"/>
            </a:solidFill>
          </c:spPr>
          <c:invertIfNegative val="0"/>
          <c:cat>
            <c:strRef>
              <c:f>Calc!$B$5:$B$16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Calc!$I$5:$I$16</c:f>
              <c:numCache>
                <c:formatCode>General</c:formatCode>
                <c:ptCount val="12"/>
                <c:pt idx="0">
                  <c:v>4730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11-4ED6-B64B-1D0660AB024E}"/>
            </c:ext>
          </c:extLst>
        </c:ser>
        <c:ser>
          <c:idx val="1"/>
          <c:order val="1"/>
          <c:tx>
            <c:v>Despesas</c:v>
          </c:tx>
          <c:spPr>
            <a:solidFill>
              <a:srgbClr val="C86E17"/>
            </a:solidFill>
          </c:spPr>
          <c:invertIfNegative val="0"/>
          <c:cat>
            <c:strRef>
              <c:f>Calc!$B$5:$B$16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Calc!$J$5:$J$16</c:f>
              <c:numCache>
                <c:formatCode>General</c:formatCode>
                <c:ptCount val="12"/>
                <c:pt idx="0">
                  <c:v>3361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11-4ED6-B64B-1D0660AB0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5"/>
        <c:axId val="29511008"/>
        <c:axId val="2138784432"/>
      </c:barChart>
      <c:lineChart>
        <c:grouping val="standard"/>
        <c:varyColors val="0"/>
        <c:ser>
          <c:idx val="2"/>
          <c:order val="2"/>
          <c:tx>
            <c:v>Saldo acumulado</c:v>
          </c:tx>
          <c:spPr>
            <a:ln w="28575">
              <a:solidFill>
                <a:srgbClr val="11917F"/>
              </a:solidFill>
            </a:ln>
          </c:spPr>
          <c:marker>
            <c:symbol val="circle"/>
            <c:size val="5"/>
            <c:spPr>
              <a:solidFill>
                <a:srgbClr val="11917F"/>
              </a:solidFill>
              <a:ln w="28575">
                <a:solidFill>
                  <a:srgbClr val="11917F"/>
                </a:solidFill>
                <a:prstDash val="solid"/>
              </a:ln>
            </c:spPr>
          </c:marker>
          <c:cat>
            <c:strRef>
              <c:f>Calc!$B$5:$B$16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Calc!$K$5:$K$16</c:f>
              <c:numCache>
                <c:formatCode>General</c:formatCode>
                <c:ptCount val="12"/>
                <c:pt idx="0">
                  <c:v>1369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11-4ED6-B64B-1D0660AB0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11008"/>
        <c:axId val="2138784432"/>
      </c:lineChart>
      <c:catAx>
        <c:axId val="2951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900">
                <a:solidFill>
                  <a:srgbClr val="64748B"/>
                </a:solidFill>
              </a:defRPr>
            </a:pPr>
            <a:endParaRPr lang="pt-BR"/>
          </a:p>
        </c:txPr>
        <c:crossAx val="2138784432"/>
        <c:crosses val="autoZero"/>
        <c:auto val="1"/>
        <c:lblAlgn val="ctr"/>
        <c:lblOffset val="100"/>
        <c:noMultiLvlLbl val="0"/>
      </c:catAx>
      <c:valAx>
        <c:axId val="213878443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2E8F0"/>
              </a:solidFill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900">
                <a:solidFill>
                  <a:srgbClr val="64748B"/>
                </a:solidFill>
              </a:defRPr>
            </a:pPr>
            <a:endParaRPr lang="pt-BR"/>
          </a:p>
        </c:txPr>
        <c:crossAx val="29511008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overlay val="0"/>
      <c:txPr>
        <a:bodyPr/>
        <a:lstStyle/>
        <a:p>
          <a:pPr>
            <a:defRPr sz="900">
              <a:solidFill>
                <a:srgbClr val="64748B"/>
              </a:solidFill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>
      <a:solidFill>
        <a:srgbClr val="E2E8F0"/>
      </a:solidFill>
    </a:ln>
    <a:effectLst>
      <a:outerShdw blurRad="50800" dist="12700" dir="5400000" rotWithShape="0">
        <a:srgbClr val="000000">
          <a:alpha val="8000"/>
        </a:srgbClr>
      </a:outerShdw>
    </a:effectLst>
  </c:spPr>
  <c:txPr>
    <a:bodyPr/>
    <a:lstStyle/>
    <a:p>
      <a:pPr>
        <a:defRPr sz="900">
          <a:solidFill>
            <a:srgbClr val="64748B"/>
          </a:solidFill>
          <a:latin typeface="Segoe UI"/>
          <a:ea typeface="Segoe UI"/>
          <a:cs typeface="Segoe UI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[Gastos Casa Organizada 2025 - Painel.xlsx]Dinâmicas!ptSub</c:name>
    <c:fmtId val="0"/>
  </c:pivotSource>
  <c:chart>
    <c:title>
      <c:tx>
        <c:rich>
          <a:bodyPr/>
          <a:lstStyle/>
          <a:p>
            <a:pPr>
              <a:defRPr sz="1100" b="1">
                <a:solidFill>
                  <a:srgbClr val="1A202C"/>
                </a:solidFill>
                <a:latin typeface="Segoe UI" panose="020B0502040204020203" pitchFamily="34" charset="0"/>
              </a:defRPr>
            </a:pPr>
            <a:r>
              <a:rPr lang="pt-BR" sz="1100" b="1">
                <a:solidFill>
                  <a:srgbClr val="1A202C"/>
                </a:solidFill>
                <a:latin typeface="Segoe UI" panose="020B0502040204020203" pitchFamily="34" charset="0"/>
              </a:rPr>
              <a:t>Top 10 subcategorias</a:t>
            </a:r>
          </a:p>
        </c:rich>
      </c:tx>
      <c:layout>
        <c:manualLayout>
          <c:xMode val="edge"/>
          <c:yMode val="edge"/>
          <c:x val="3.8095238095238099E-2"/>
          <c:y val="4.5801526717557252E-2"/>
        </c:manualLayout>
      </c:layout>
      <c:overlay val="0"/>
    </c:title>
    <c:autoTitleDeleted val="0"/>
    <c:pivotFmts>
      <c:pivotFmt>
        <c:idx val="0"/>
        <c:spPr>
          <a:solidFill>
            <a:srgbClr val="2A6FB8"/>
          </a:solidFill>
        </c:spPr>
        <c:marker>
          <c:symbol val="none"/>
        </c:marker>
        <c:dLbl>
          <c:idx val="0"/>
          <c:numFmt formatCode="&quot;R$ &quot;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850">
                  <a:solidFill>
                    <a:srgbClr val="1A202C"/>
                  </a:solidFill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Dinâmicas!$H$4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6FB8"/>
            </a:solidFill>
          </c:spPr>
          <c:invertIfNegative val="0"/>
          <c:dLbls>
            <c:numFmt formatCode="&quot;R$ &quot;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>
                    <a:solidFill>
                      <a:srgbClr val="1A202C"/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Dinâmicas!$G$5:$G$15</c:f>
              <c:strCache>
                <c:ptCount val="10"/>
                <c:pt idx="0">
                  <c:v>Cartão Jhenismara</c:v>
                </c:pt>
                <c:pt idx="1">
                  <c:v>Supermercado</c:v>
                </c:pt>
                <c:pt idx="2">
                  <c:v>Café / Almoço</c:v>
                </c:pt>
                <c:pt idx="3">
                  <c:v>Transporte Trabalho (Matheus)</c:v>
                </c:pt>
                <c:pt idx="4">
                  <c:v>Cartão Matheus</c:v>
                </c:pt>
                <c:pt idx="5">
                  <c:v>Energia</c:v>
                </c:pt>
                <c:pt idx="6">
                  <c:v>Transporte Trabalho (Jhenis)</c:v>
                </c:pt>
                <c:pt idx="7">
                  <c:v>Restaurante</c:v>
                </c:pt>
                <c:pt idx="8">
                  <c:v>Internet</c:v>
                </c:pt>
                <c:pt idx="9">
                  <c:v>Água</c:v>
                </c:pt>
              </c:strCache>
            </c:strRef>
          </c:cat>
          <c:val>
            <c:numRef>
              <c:f>Dinâmicas!$H$5:$H$15</c:f>
              <c:numCache>
                <c:formatCode>"R$ "#,##0</c:formatCode>
                <c:ptCount val="10"/>
                <c:pt idx="0">
                  <c:v>1400</c:v>
                </c:pt>
                <c:pt idx="1">
                  <c:v>450</c:v>
                </c:pt>
                <c:pt idx="2">
                  <c:v>250</c:v>
                </c:pt>
                <c:pt idx="3">
                  <c:v>240</c:v>
                </c:pt>
                <c:pt idx="4">
                  <c:v>175</c:v>
                </c:pt>
                <c:pt idx="5">
                  <c:v>150</c:v>
                </c:pt>
                <c:pt idx="6">
                  <c:v>143</c:v>
                </c:pt>
                <c:pt idx="7">
                  <c:v>140</c:v>
                </c:pt>
                <c:pt idx="8">
                  <c:v>89</c:v>
                </c:pt>
                <c:pt idx="9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BA-4598-B9F7-D00AAC034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31359312"/>
        <c:axId val="2138857872"/>
      </c:barChart>
      <c:catAx>
        <c:axId val="313593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900">
                <a:solidFill>
                  <a:srgbClr val="64748B"/>
                </a:solidFill>
              </a:defRPr>
            </a:pPr>
            <a:endParaRPr lang="pt-BR"/>
          </a:p>
        </c:txPr>
        <c:crossAx val="2138857872"/>
        <c:crosses val="autoZero"/>
        <c:auto val="1"/>
        <c:lblAlgn val="ctr"/>
        <c:lblOffset val="100"/>
        <c:noMultiLvlLbl val="0"/>
      </c:catAx>
      <c:valAx>
        <c:axId val="2138857872"/>
        <c:scaling>
          <c:orientation val="minMax"/>
          <c:min val="0"/>
        </c:scaling>
        <c:delete val="1"/>
        <c:axPos val="t"/>
        <c:majorGridlines>
          <c:spPr>
            <a:ln w="6350">
              <a:solidFill>
                <a:srgbClr val="E2E8F0"/>
              </a:solidFill>
            </a:ln>
          </c:spPr>
        </c:majorGridlines>
        <c:numFmt formatCode="&quot;R$ &quot;#,##0" sourceLinked="0"/>
        <c:majorTickMark val="none"/>
        <c:minorTickMark val="none"/>
        <c:tickLblPos val="nextTo"/>
        <c:crossAx val="31359312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>
      <a:solidFill>
        <a:srgbClr val="E2E8F0"/>
      </a:solidFill>
    </a:ln>
    <a:effectLst>
      <a:outerShdw blurRad="50800" dist="12700" dir="5400000" rotWithShape="0">
        <a:srgbClr val="000000">
          <a:alpha val="8000"/>
        </a:srgbClr>
      </a:outerShdw>
    </a:effectLst>
  </c:spPr>
  <c:txPr>
    <a:bodyPr/>
    <a:lstStyle/>
    <a:p>
      <a:pPr>
        <a:defRPr sz="900">
          <a:solidFill>
            <a:srgbClr val="64748B"/>
          </a:solidFill>
          <a:latin typeface="Segoe UI"/>
          <a:ea typeface="Segoe UI"/>
          <a:cs typeface="Segoe UI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>
                <a:solidFill>
                  <a:srgbClr val="1A202C"/>
                </a:solidFill>
                <a:latin typeface="Segoe UI" panose="020B0502040204020203" pitchFamily="34" charset="0"/>
              </a:defRPr>
            </a:pPr>
            <a:r>
              <a:rPr lang="pt-BR" sz="1100" b="1">
                <a:solidFill>
                  <a:srgbClr val="1A202C"/>
                </a:solidFill>
                <a:latin typeface="Segoe UI" panose="020B0502040204020203" pitchFamily="34" charset="0"/>
              </a:rPr>
              <a:t>Previsto x realizado por grupo</a:t>
            </a:r>
          </a:p>
        </c:rich>
      </c:tx>
      <c:layout>
        <c:manualLayout>
          <c:xMode val="edge"/>
          <c:yMode val="edge"/>
          <c:x val="2.6666666666666668E-2"/>
          <c:y val="4.5801526717557252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Previsto</c:v>
          </c:tx>
          <c:spPr>
            <a:solidFill>
              <a:srgbClr val="B8C2CC"/>
            </a:solidFill>
          </c:spPr>
          <c:invertIfNegative val="0"/>
          <c:cat>
            <c:strRef>
              <c:f>[0]!gCat</c:f>
              <c:strCache>
                <c:ptCount val="13"/>
                <c:pt idx="0">
                  <c:v>Moradia</c:v>
                </c:pt>
                <c:pt idx="1">
                  <c:v>Alimentação</c:v>
                </c:pt>
                <c:pt idx="2">
                  <c:v>Comunicação</c:v>
                </c:pt>
                <c:pt idx="3">
                  <c:v>Saúde e Cuidados</c:v>
                </c:pt>
                <c:pt idx="4">
                  <c:v>Vestuário</c:v>
                </c:pt>
                <c:pt idx="5">
                  <c:v>Transporte</c:v>
                </c:pt>
                <c:pt idx="6">
                  <c:v>Educação</c:v>
                </c:pt>
                <c:pt idx="7">
                  <c:v>Lazer</c:v>
                </c:pt>
                <c:pt idx="8">
                  <c:v>Casa (Artigos)</c:v>
                </c:pt>
                <c:pt idx="9">
                  <c:v>Outros</c:v>
                </c:pt>
                <c:pt idx="10">
                  <c:v>Cartões e Dívidas</c:v>
                </c:pt>
                <c:pt idx="11">
                  <c:v>Financeiro</c:v>
                </c:pt>
                <c:pt idx="12">
                  <c:v>Investimentos</c:v>
                </c:pt>
              </c:strCache>
            </c:strRef>
          </c:cat>
          <c:val>
            <c:numRef>
              <c:f>[0]!gPrev</c:f>
              <c:numCache>
                <c:formatCode>"R$ "#,##0</c:formatCode>
                <c:ptCount val="13"/>
                <c:pt idx="0">
                  <c:v>2002</c:v>
                </c:pt>
                <c:pt idx="1">
                  <c:v>830</c:v>
                </c:pt>
                <c:pt idx="2">
                  <c:v>225.3</c:v>
                </c:pt>
                <c:pt idx="3">
                  <c:v>679</c:v>
                </c:pt>
                <c:pt idx="4">
                  <c:v>39</c:v>
                </c:pt>
                <c:pt idx="5">
                  <c:v>916</c:v>
                </c:pt>
                <c:pt idx="6">
                  <c:v>140</c:v>
                </c:pt>
                <c:pt idx="7">
                  <c:v>778</c:v>
                </c:pt>
                <c:pt idx="8">
                  <c:v>0</c:v>
                </c:pt>
                <c:pt idx="9">
                  <c:v>0</c:v>
                </c:pt>
                <c:pt idx="10">
                  <c:v>9173</c:v>
                </c:pt>
                <c:pt idx="11">
                  <c:v>0</c:v>
                </c:pt>
                <c:pt idx="12">
                  <c:v>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0-4461-9CBE-74E919E6D10D}"/>
            </c:ext>
          </c:extLst>
        </c:ser>
        <c:ser>
          <c:idx val="1"/>
          <c:order val="1"/>
          <c:tx>
            <c:v>Realizado</c:v>
          </c:tx>
          <c:spPr>
            <a:solidFill>
              <a:srgbClr val="2A6FB8"/>
            </a:solidFill>
          </c:spPr>
          <c:invertIfNegative val="0"/>
          <c:cat>
            <c:strRef>
              <c:f>[0]!gCat</c:f>
              <c:strCache>
                <c:ptCount val="13"/>
                <c:pt idx="0">
                  <c:v>Moradia</c:v>
                </c:pt>
                <c:pt idx="1">
                  <c:v>Alimentação</c:v>
                </c:pt>
                <c:pt idx="2">
                  <c:v>Comunicação</c:v>
                </c:pt>
                <c:pt idx="3">
                  <c:v>Saúde e Cuidados</c:v>
                </c:pt>
                <c:pt idx="4">
                  <c:v>Vestuário</c:v>
                </c:pt>
                <c:pt idx="5">
                  <c:v>Transporte</c:v>
                </c:pt>
                <c:pt idx="6">
                  <c:v>Educação</c:v>
                </c:pt>
                <c:pt idx="7">
                  <c:v>Lazer</c:v>
                </c:pt>
                <c:pt idx="8">
                  <c:v>Casa (Artigos)</c:v>
                </c:pt>
                <c:pt idx="9">
                  <c:v>Outros</c:v>
                </c:pt>
                <c:pt idx="10">
                  <c:v>Cartões e Dívidas</c:v>
                </c:pt>
                <c:pt idx="11">
                  <c:v>Financeiro</c:v>
                </c:pt>
                <c:pt idx="12">
                  <c:v>Investimentos</c:v>
                </c:pt>
              </c:strCache>
            </c:strRef>
          </c:cat>
          <c:val>
            <c:numRef>
              <c:f>[0]!gReal</c:f>
              <c:numCache>
                <c:formatCode>"R$ "#,##0</c:formatCode>
                <c:ptCount val="13"/>
                <c:pt idx="0">
                  <c:v>282</c:v>
                </c:pt>
                <c:pt idx="1">
                  <c:v>840</c:v>
                </c:pt>
                <c:pt idx="2">
                  <c:v>236</c:v>
                </c:pt>
                <c:pt idx="3">
                  <c:v>0</c:v>
                </c:pt>
                <c:pt idx="4">
                  <c:v>0</c:v>
                </c:pt>
                <c:pt idx="5">
                  <c:v>428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1575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00-4461-9CBE-74E919E6D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127968032"/>
        <c:axId val="2138912592"/>
      </c:barChart>
      <c:catAx>
        <c:axId val="11279680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900">
                <a:solidFill>
                  <a:srgbClr val="64748B"/>
                </a:solidFill>
              </a:defRPr>
            </a:pPr>
            <a:endParaRPr lang="pt-BR"/>
          </a:p>
        </c:txPr>
        <c:crossAx val="2138912592"/>
        <c:crosses val="autoZero"/>
        <c:auto val="1"/>
        <c:lblAlgn val="ctr"/>
        <c:lblOffset val="100"/>
        <c:noMultiLvlLbl val="0"/>
      </c:catAx>
      <c:valAx>
        <c:axId val="2138912592"/>
        <c:scaling>
          <c:orientation val="minMax"/>
          <c:min val="0"/>
        </c:scaling>
        <c:delete val="0"/>
        <c:axPos val="t"/>
        <c:majorGridlines>
          <c:spPr>
            <a:ln w="6350">
              <a:solidFill>
                <a:srgbClr val="E2E8F0"/>
              </a:solidFill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900">
                <a:solidFill>
                  <a:srgbClr val="64748B"/>
                </a:solidFill>
              </a:defRPr>
            </a:pPr>
            <a:endParaRPr lang="pt-BR"/>
          </a:p>
        </c:txPr>
        <c:crossAx val="1127968032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overlay val="0"/>
      <c:txPr>
        <a:bodyPr/>
        <a:lstStyle/>
        <a:p>
          <a:pPr>
            <a:defRPr sz="900">
              <a:solidFill>
                <a:srgbClr val="64748B"/>
              </a:solidFill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>
      <a:solidFill>
        <a:srgbClr val="E2E8F0"/>
      </a:solidFill>
    </a:ln>
    <a:effectLst>
      <a:outerShdw blurRad="50800" dist="12700" dir="5400000" rotWithShape="0">
        <a:srgbClr val="000000">
          <a:alpha val="8000"/>
        </a:srgbClr>
      </a:outerShdw>
    </a:effectLst>
  </c:spPr>
  <c:txPr>
    <a:bodyPr/>
    <a:lstStyle/>
    <a:p>
      <a:pPr>
        <a:defRPr sz="900">
          <a:solidFill>
            <a:srgbClr val="64748B"/>
          </a:solidFill>
          <a:latin typeface="Segoe UI"/>
          <a:ea typeface="Segoe UI"/>
          <a:cs typeface="Segoe UI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>
                <a:solidFill>
                  <a:srgbClr val="1A202C"/>
                </a:solidFill>
                <a:latin typeface="Segoe UI" panose="020B0502040204020203" pitchFamily="34" charset="0"/>
              </a:defRPr>
            </a:pPr>
            <a:r>
              <a:rPr lang="pt-BR" sz="1100" b="1">
                <a:solidFill>
                  <a:srgbClr val="1A202C"/>
                </a:solidFill>
                <a:latin typeface="Segoe UI" panose="020B0502040204020203" pitchFamily="34" charset="0"/>
              </a:rPr>
              <a:t>Metas e reservas</a:t>
            </a:r>
          </a:p>
        </c:rich>
      </c:tx>
      <c:layout>
        <c:manualLayout>
          <c:xMode val="edge"/>
          <c:yMode val="edge"/>
          <c:x val="3.8095238095238099E-2"/>
          <c:y val="4.5801526717557252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Alvo</c:v>
          </c:tx>
          <c:spPr>
            <a:solidFill>
              <a:srgbClr val="E2E8F0"/>
            </a:solidFill>
          </c:spPr>
          <c:invertIfNegative val="0"/>
          <c:cat>
            <c:strRef>
              <c:f>[0]!nmMeta</c:f>
              <c:strCache>
                <c:ptCount val="6"/>
                <c:pt idx="0">
                  <c:v>Caixa de Emergência</c:v>
                </c:pt>
                <c:pt idx="1">
                  <c:v>Emergência Casa</c:v>
                </c:pt>
                <c:pt idx="2">
                  <c:v>Renda Variável</c:v>
                </c:pt>
                <c:pt idx="3">
                  <c:v>Fundos Imobiliários</c:v>
                </c:pt>
                <c:pt idx="4">
                  <c:v>Ações Baixo Risco</c:v>
                </c:pt>
                <c:pt idx="5">
                  <c:v>Ações Alto Risco</c:v>
                </c:pt>
              </c:strCache>
            </c:strRef>
          </c:cat>
          <c:val>
            <c:numRef>
              <c:f>[0]!nmAlvo</c:f>
              <c:numCache>
                <c:formatCode>"R$ "#,##0.00</c:formatCode>
                <c:ptCount val="6"/>
                <c:pt idx="0">
                  <c:v>1800</c:v>
                </c:pt>
                <c:pt idx="1">
                  <c:v>1440</c:v>
                </c:pt>
                <c:pt idx="2">
                  <c:v>14400</c:v>
                </c:pt>
                <c:pt idx="3">
                  <c:v>14400</c:v>
                </c:pt>
                <c:pt idx="4">
                  <c:v>14400</c:v>
                </c:pt>
                <c:pt idx="5">
                  <c:v>14400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8-44EA-9466-A3EA7F9326D0}"/>
            </c:ext>
          </c:extLst>
        </c:ser>
        <c:ser>
          <c:idx val="1"/>
          <c:order val="1"/>
          <c:tx>
            <c:v>Acumulado</c:v>
          </c:tx>
          <c:spPr>
            <a:solidFill>
              <a:srgbClr val="11917F"/>
            </a:solidFill>
          </c:spPr>
          <c:invertIfNegative val="0"/>
          <c:cat>
            <c:strRef>
              <c:f>[0]!nmMeta</c:f>
              <c:strCache>
                <c:ptCount val="6"/>
                <c:pt idx="0">
                  <c:v>Caixa de Emergência</c:v>
                </c:pt>
                <c:pt idx="1">
                  <c:v>Emergência Casa</c:v>
                </c:pt>
                <c:pt idx="2">
                  <c:v>Renda Variável</c:v>
                </c:pt>
                <c:pt idx="3">
                  <c:v>Fundos Imobiliários</c:v>
                </c:pt>
                <c:pt idx="4">
                  <c:v>Ações Baixo Risco</c:v>
                </c:pt>
                <c:pt idx="5">
                  <c:v>Ações Alto Risco</c:v>
                </c:pt>
              </c:strCache>
            </c:strRef>
          </c:cat>
          <c:val>
            <c:numRef>
              <c:f>[0]!nmAcum</c:f>
              <c:numCache>
                <c:formatCode>"R$ "#,##0.00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58-44EA-9466-A3EA7F932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127982416"/>
        <c:axId val="2138847312"/>
      </c:barChart>
      <c:catAx>
        <c:axId val="11279824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900">
                <a:solidFill>
                  <a:srgbClr val="64748B"/>
                </a:solidFill>
              </a:defRPr>
            </a:pPr>
            <a:endParaRPr lang="pt-BR"/>
          </a:p>
        </c:txPr>
        <c:crossAx val="2138847312"/>
        <c:crosses val="autoZero"/>
        <c:auto val="1"/>
        <c:lblAlgn val="ctr"/>
        <c:lblOffset val="100"/>
        <c:noMultiLvlLbl val="0"/>
      </c:catAx>
      <c:valAx>
        <c:axId val="2138847312"/>
        <c:scaling>
          <c:orientation val="minMax"/>
          <c:min val="0"/>
        </c:scaling>
        <c:delete val="0"/>
        <c:axPos val="t"/>
        <c:majorGridlines>
          <c:spPr>
            <a:ln w="6350">
              <a:solidFill>
                <a:srgbClr val="E2E8F0"/>
              </a:solidFill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900">
                <a:solidFill>
                  <a:srgbClr val="64748B"/>
                </a:solidFill>
              </a:defRPr>
            </a:pPr>
            <a:endParaRPr lang="pt-BR"/>
          </a:p>
        </c:txPr>
        <c:crossAx val="1127982416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overlay val="0"/>
      <c:txPr>
        <a:bodyPr/>
        <a:lstStyle/>
        <a:p>
          <a:pPr>
            <a:defRPr sz="900">
              <a:solidFill>
                <a:srgbClr val="64748B"/>
              </a:solidFill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>
      <a:solidFill>
        <a:srgbClr val="E2E8F0"/>
      </a:solidFill>
    </a:ln>
    <a:effectLst>
      <a:outerShdw blurRad="50800" dist="12700" dir="5400000" rotWithShape="0">
        <a:srgbClr val="000000">
          <a:alpha val="8000"/>
        </a:srgbClr>
      </a:outerShdw>
    </a:effectLst>
  </c:spPr>
  <c:txPr>
    <a:bodyPr/>
    <a:lstStyle/>
    <a:p>
      <a:pPr>
        <a:defRPr sz="900">
          <a:solidFill>
            <a:srgbClr val="64748B"/>
          </a:solidFill>
          <a:latin typeface="Segoe UI"/>
          <a:ea typeface="Segoe UI"/>
          <a:cs typeface="Segoe UI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26</xdr:col>
      <xdr:colOff>342900</xdr:colOff>
      <xdr:row>1</xdr:row>
      <xdr:rowOff>6350</xdr:rowOff>
    </xdr:to>
    <xdr:sp macro="" textlink="">
      <xdr:nvSpPr>
        <xdr:cNvPr id="2" name="cabFundo">
          <a:extLst>
            <a:ext uri="{FF2B5EF4-FFF2-40B4-BE49-F238E27FC236}">
              <a16:creationId xmlns:a16="http://schemas.microsoft.com/office/drawing/2014/main" id="{6042521F-B827-727C-58E5-378351F50410}"/>
            </a:ext>
          </a:extLst>
        </xdr:cNvPr>
        <xdr:cNvSpPr/>
      </xdr:nvSpPr>
      <xdr:spPr>
        <a:xfrm>
          <a:off x="0" y="0"/>
          <a:ext cx="16192500" cy="558800"/>
        </a:xfrm>
        <a:prstGeom prst="rect">
          <a:avLst/>
        </a:prstGeom>
        <a:solidFill>
          <a:srgbClr val="0B1F3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228600</xdr:colOff>
      <xdr:row>0</xdr:row>
      <xdr:rowOff>76200</xdr:rowOff>
    </xdr:from>
    <xdr:to>
      <xdr:col>6</xdr:col>
      <xdr:colOff>381000</xdr:colOff>
      <xdr:row>0</xdr:row>
      <xdr:rowOff>330200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9565129F-7098-4B48-B72A-A2380D265875}"/>
            </a:ext>
          </a:extLst>
        </xdr:cNvPr>
        <xdr:cNvSpPr txBox="1"/>
      </xdr:nvSpPr>
      <xdr:spPr>
        <a:xfrm>
          <a:off x="228600" y="76200"/>
          <a:ext cx="3810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r>
            <a:rPr lang="pt-BR" sz="1400" b="1">
              <a:solidFill>
                <a:srgbClr val="FFFFFF"/>
              </a:solidFill>
              <a:latin typeface="Segoe UI" panose="020B0502040204020203" pitchFamily="34" charset="0"/>
            </a:rPr>
            <a:t>Casa Organizada</a:t>
          </a:r>
        </a:p>
      </xdr:txBody>
    </xdr:sp>
    <xdr:clientData/>
  </xdr:twoCellAnchor>
  <xdr:twoCellAnchor editAs="absolute">
    <xdr:from>
      <xdr:col>0</xdr:col>
      <xdr:colOff>228600</xdr:colOff>
      <xdr:row>0</xdr:row>
      <xdr:rowOff>330200</xdr:rowOff>
    </xdr:from>
    <xdr:to>
      <xdr:col>6</xdr:col>
      <xdr:colOff>381000</xdr:colOff>
      <xdr:row>0</xdr:row>
      <xdr:rowOff>482600</xdr:rowOff>
    </xdr:to>
    <xdr:sp macro="" textlink="Calc!$C$58">
      <xdr:nvSpPr>
        <xdr:cNvPr id="4" name="cabPeriodo">
          <a:extLst>
            <a:ext uri="{FF2B5EF4-FFF2-40B4-BE49-F238E27FC236}">
              <a16:creationId xmlns:a16="http://schemas.microsoft.com/office/drawing/2014/main" id="{5CB6C809-8577-C249-023B-ADB44E05A1A8}"/>
            </a:ext>
          </a:extLst>
        </xdr:cNvPr>
        <xdr:cNvSpPr txBox="1"/>
      </xdr:nvSpPr>
      <xdr:spPr>
        <a:xfrm>
          <a:off x="228600" y="330200"/>
          <a:ext cx="38100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57EA30D2-44A3-4784-B35C-052C90B9EEB1}" type="TxLink">
            <a:rPr lang="en-US" sz="850" b="0" i="0" u="none" strike="noStrike">
              <a:solidFill>
                <a:srgbClr val="A5B4C8"/>
              </a:solidFill>
              <a:latin typeface="Segoe UI" panose="020B0502040204020203" pitchFamily="34" charset="0"/>
              <a:ea typeface="Calibri"/>
              <a:cs typeface="Calibri"/>
            </a:rPr>
            <a:pPr/>
            <a:t>JAN de 2025</a:t>
          </a:fld>
          <a:endParaRPr lang="pt-BR" sz="850" b="0">
            <a:solidFill>
              <a:srgbClr val="A5B4C8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5</xdr:col>
      <xdr:colOff>127000</xdr:colOff>
      <xdr:row>0</xdr:row>
      <xdr:rowOff>203200</xdr:rowOff>
    </xdr:from>
    <xdr:to>
      <xdr:col>10</xdr:col>
      <xdr:colOff>381000</xdr:colOff>
      <xdr:row>0</xdr:row>
      <xdr:rowOff>381000</xdr:rowOff>
    </xdr:to>
    <xdr:sp macro="" textlink="Calc!$C$56">
      <xdr:nvSpPr>
        <xdr:cNvPr id="5" name="chipStatus">
          <a:extLst>
            <a:ext uri="{FF2B5EF4-FFF2-40B4-BE49-F238E27FC236}">
              <a16:creationId xmlns:a16="http://schemas.microsoft.com/office/drawing/2014/main" id="{B5FA2AF8-5618-7BB2-DF8D-7911FD117F6E}"/>
            </a:ext>
          </a:extLst>
        </xdr:cNvPr>
        <xdr:cNvSpPr txBox="1"/>
      </xdr:nvSpPr>
      <xdr:spPr>
        <a:xfrm>
          <a:off x="3175000" y="203200"/>
          <a:ext cx="330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45FFA3DE-A9BA-4640-806E-41EBF1BEDE24}" type="TxLink">
            <a:rPr lang="en-US" sz="900" b="1" i="0" u="none" strike="noStrike">
              <a:solidFill>
                <a:srgbClr val="86EFAC"/>
              </a:solidFill>
              <a:latin typeface="Segoe UI" panose="020B0502040204020203" pitchFamily="34" charset="0"/>
              <a:ea typeface="Calibri"/>
              <a:cs typeface="Calibri"/>
            </a:rPr>
            <a:pPr/>
            <a:t>✓ Dados consistentes</a:t>
          </a:fld>
          <a:endParaRPr lang="pt-BR" sz="900" b="1">
            <a:solidFill>
              <a:srgbClr val="86EFAC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15</xdr:col>
      <xdr:colOff>254000</xdr:colOff>
      <xdr:row>0</xdr:row>
      <xdr:rowOff>114300</xdr:rowOff>
    </xdr:from>
    <xdr:to>
      <xdr:col>18</xdr:col>
      <xdr:colOff>101600</xdr:colOff>
      <xdr:row>0</xdr:row>
      <xdr:rowOff>444500</xdr:rowOff>
    </xdr:to>
    <xdr:sp macro="[0]!IrCadastro" textlink="">
      <xdr:nvSpPr>
        <xdr:cNvPr id="6" name="btIrCadastro5">
          <a:extLst>
            <a:ext uri="{FF2B5EF4-FFF2-40B4-BE49-F238E27FC236}">
              <a16:creationId xmlns:a16="http://schemas.microsoft.com/office/drawing/2014/main" id="{B59938A5-0629-34F3-951A-2C96CC28BE60}"/>
            </a:ext>
          </a:extLst>
        </xdr:cNvPr>
        <xdr:cNvSpPr/>
      </xdr:nvSpPr>
      <xdr:spPr>
        <a:xfrm>
          <a:off x="9398000" y="114300"/>
          <a:ext cx="1676400" cy="330200"/>
        </a:xfrm>
        <a:prstGeom prst="roundRect">
          <a:avLst>
            <a:gd name="adj" fmla="val 20000"/>
          </a:avLst>
        </a:prstGeom>
        <a:solidFill>
          <a:srgbClr val="C9A22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950" b="1">
              <a:solidFill>
                <a:srgbClr val="0B1F3A"/>
              </a:solidFill>
              <a:latin typeface="Segoe UI" panose="020B0502040204020203" pitchFamily="34" charset="0"/>
            </a:rPr>
            <a:t>+ Lançar gasto</a:t>
          </a:r>
        </a:p>
      </xdr:txBody>
    </xdr:sp>
    <xdr:clientData/>
  </xdr:twoCellAnchor>
  <xdr:twoCellAnchor editAs="absolute">
    <xdr:from>
      <xdr:col>0</xdr:col>
      <xdr:colOff>0</xdr:colOff>
      <xdr:row>1</xdr:row>
      <xdr:rowOff>6350</xdr:rowOff>
    </xdr:from>
    <xdr:to>
      <xdr:col>26</xdr:col>
      <xdr:colOff>342900</xdr:colOff>
      <xdr:row>2</xdr:row>
      <xdr:rowOff>6350</xdr:rowOff>
    </xdr:to>
    <xdr:sp macro="" textlink="">
      <xdr:nvSpPr>
        <xdr:cNvPr id="7" name="navFundo">
          <a:extLst>
            <a:ext uri="{FF2B5EF4-FFF2-40B4-BE49-F238E27FC236}">
              <a16:creationId xmlns:a16="http://schemas.microsoft.com/office/drawing/2014/main" id="{863FA1F3-3284-AA8B-9DF5-1EBAB48BA427}"/>
            </a:ext>
          </a:extLst>
        </xdr:cNvPr>
        <xdr:cNvSpPr/>
      </xdr:nvSpPr>
      <xdr:spPr>
        <a:xfrm>
          <a:off x="0" y="558800"/>
          <a:ext cx="16192500" cy="3810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0</xdr:colOff>
      <xdr:row>2</xdr:row>
      <xdr:rowOff>6350</xdr:rowOff>
    </xdr:from>
    <xdr:to>
      <xdr:col>26</xdr:col>
      <xdr:colOff>342900</xdr:colOff>
      <xdr:row>2</xdr:row>
      <xdr:rowOff>6350</xdr:rowOff>
    </xdr:to>
    <xdr:cxnSp macro="">
      <xdr:nvCxnSpPr>
        <xdr:cNvPr id="8" name="navLinha">
          <a:extLst>
            <a:ext uri="{FF2B5EF4-FFF2-40B4-BE49-F238E27FC236}">
              <a16:creationId xmlns:a16="http://schemas.microsoft.com/office/drawing/2014/main" id="{D99CC6B4-5BFB-E06A-B53F-E5E6BC9E79D9}"/>
            </a:ext>
          </a:extLst>
        </xdr:cNvPr>
        <xdr:cNvCxnSpPr/>
      </xdr:nvCxnSpPr>
      <xdr:spPr>
        <a:xfrm>
          <a:off x="0" y="939800"/>
          <a:ext cx="16192500" cy="0"/>
        </a:xfrm>
        <a:prstGeom prst="line">
          <a:avLst/>
        </a:prstGeom>
        <a:ln>
          <a:solidFill>
            <a:srgbClr val="E2E8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152400</xdr:colOff>
      <xdr:row>1</xdr:row>
      <xdr:rowOff>57150</xdr:rowOff>
    </xdr:from>
    <xdr:to>
      <xdr:col>1</xdr:col>
      <xdr:colOff>309880</xdr:colOff>
      <xdr:row>1</xdr:row>
      <xdr:rowOff>361950</xdr:rowOff>
    </xdr:to>
    <xdr:sp macro="[0]!Navegar" textlink="">
      <xdr:nvSpPr>
        <xdr:cNvPr id="9" name="nav_0">
          <a:extLst>
            <a:ext uri="{FF2B5EF4-FFF2-40B4-BE49-F238E27FC236}">
              <a16:creationId xmlns:a16="http://schemas.microsoft.com/office/drawing/2014/main" id="{A8118301-0BA4-A53C-51C0-C71C475361DA}"/>
            </a:ext>
          </a:extLst>
        </xdr:cNvPr>
        <xdr:cNvSpPr txBox="1"/>
      </xdr:nvSpPr>
      <xdr:spPr>
        <a:xfrm>
          <a:off x="15240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1">
              <a:solidFill>
                <a:srgbClr val="0B1F3A"/>
              </a:solidFill>
              <a:latin typeface="Segoe UI" panose="020B0502040204020203" pitchFamily="34" charset="0"/>
            </a:rPr>
            <a:t>Painel</a:t>
          </a:r>
        </a:p>
      </xdr:txBody>
    </xdr:sp>
    <xdr:clientData/>
  </xdr:twoCellAnchor>
  <xdr:twoCellAnchor editAs="absolute">
    <xdr:from>
      <xdr:col>0</xdr:col>
      <xdr:colOff>228600</xdr:colOff>
      <xdr:row>1</xdr:row>
      <xdr:rowOff>349250</xdr:rowOff>
    </xdr:from>
    <xdr:to>
      <xdr:col>1</xdr:col>
      <xdr:colOff>233680</xdr:colOff>
      <xdr:row>2</xdr:row>
      <xdr:rowOff>6350</xdr:rowOff>
    </xdr:to>
    <xdr:sp macro="" textlink="">
      <xdr:nvSpPr>
        <xdr:cNvPr id="10" name="navAtivo">
          <a:extLst>
            <a:ext uri="{FF2B5EF4-FFF2-40B4-BE49-F238E27FC236}">
              <a16:creationId xmlns:a16="http://schemas.microsoft.com/office/drawing/2014/main" id="{5D57A2D4-C846-1E34-6730-EFCB04A8E6C9}"/>
            </a:ext>
          </a:extLst>
        </xdr:cNvPr>
        <xdr:cNvSpPr/>
      </xdr:nvSpPr>
      <xdr:spPr>
        <a:xfrm>
          <a:off x="228600" y="901700"/>
          <a:ext cx="614680" cy="38100"/>
        </a:xfrm>
        <a:prstGeom prst="rect">
          <a:avLst/>
        </a:prstGeom>
        <a:solidFill>
          <a:srgbClr val="C9A22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</xdr:col>
      <xdr:colOff>360680</xdr:colOff>
      <xdr:row>1</xdr:row>
      <xdr:rowOff>57150</xdr:rowOff>
    </xdr:from>
    <xdr:to>
      <xdr:col>2</xdr:col>
      <xdr:colOff>599440</xdr:colOff>
      <xdr:row>1</xdr:row>
      <xdr:rowOff>361950</xdr:rowOff>
    </xdr:to>
    <xdr:sp macro="[0]!Navegar" textlink="">
      <xdr:nvSpPr>
        <xdr:cNvPr id="11" name="nav_1">
          <a:extLst>
            <a:ext uri="{FF2B5EF4-FFF2-40B4-BE49-F238E27FC236}">
              <a16:creationId xmlns:a16="http://schemas.microsoft.com/office/drawing/2014/main" id="{1E2FA4BA-38CA-D81B-D51A-A372D067D79C}"/>
            </a:ext>
          </a:extLst>
        </xdr:cNvPr>
        <xdr:cNvSpPr txBox="1"/>
      </xdr:nvSpPr>
      <xdr:spPr>
        <a:xfrm>
          <a:off x="970280" y="609600"/>
          <a:ext cx="84836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Análise</a:t>
          </a:r>
        </a:p>
      </xdr:txBody>
    </xdr:sp>
    <xdr:clientData/>
  </xdr:twoCellAnchor>
  <xdr:twoCellAnchor editAs="absolute">
    <xdr:from>
      <xdr:col>3</xdr:col>
      <xdr:colOff>40640</xdr:colOff>
      <xdr:row>1</xdr:row>
      <xdr:rowOff>57150</xdr:rowOff>
    </xdr:from>
    <xdr:to>
      <xdr:col>4</xdr:col>
      <xdr:colOff>198120</xdr:colOff>
      <xdr:row>1</xdr:row>
      <xdr:rowOff>361950</xdr:rowOff>
    </xdr:to>
    <xdr:sp macro="[0]!Navegar" textlink="">
      <xdr:nvSpPr>
        <xdr:cNvPr id="12" name="nav_2">
          <a:extLst>
            <a:ext uri="{FF2B5EF4-FFF2-40B4-BE49-F238E27FC236}">
              <a16:creationId xmlns:a16="http://schemas.microsoft.com/office/drawing/2014/main" id="{E3E68C26-7AB5-A181-0F93-D67E0B33A3E3}"/>
            </a:ext>
          </a:extLst>
        </xdr:cNvPr>
        <xdr:cNvSpPr txBox="1"/>
      </xdr:nvSpPr>
      <xdr:spPr>
        <a:xfrm>
          <a:off x="186944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Lançar</a:t>
          </a:r>
        </a:p>
      </xdr:txBody>
    </xdr:sp>
    <xdr:clientData/>
  </xdr:twoCellAnchor>
  <xdr:twoCellAnchor editAs="absolute">
    <xdr:from>
      <xdr:col>4</xdr:col>
      <xdr:colOff>248920</xdr:colOff>
      <xdr:row>1</xdr:row>
      <xdr:rowOff>57150</xdr:rowOff>
    </xdr:from>
    <xdr:to>
      <xdr:col>5</xdr:col>
      <xdr:colOff>406400</xdr:colOff>
      <xdr:row>1</xdr:row>
      <xdr:rowOff>361950</xdr:rowOff>
    </xdr:to>
    <xdr:sp macro="[0]!Navegar" textlink="">
      <xdr:nvSpPr>
        <xdr:cNvPr id="13" name="nav_3">
          <a:extLst>
            <a:ext uri="{FF2B5EF4-FFF2-40B4-BE49-F238E27FC236}">
              <a16:creationId xmlns:a16="http://schemas.microsoft.com/office/drawing/2014/main" id="{14214955-1330-4FDD-481F-6E83B7C14E50}"/>
            </a:ext>
          </a:extLst>
        </xdr:cNvPr>
        <xdr:cNvSpPr txBox="1"/>
      </xdr:nvSpPr>
      <xdr:spPr>
        <a:xfrm>
          <a:off x="268732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Contas</a:t>
          </a:r>
        </a:p>
      </xdr:txBody>
    </xdr:sp>
    <xdr:clientData/>
  </xdr:twoCellAnchor>
  <xdr:twoCellAnchor editAs="absolute">
    <xdr:from>
      <xdr:col>5</xdr:col>
      <xdr:colOff>457200</xdr:colOff>
      <xdr:row>1</xdr:row>
      <xdr:rowOff>57150</xdr:rowOff>
    </xdr:from>
    <xdr:to>
      <xdr:col>6</xdr:col>
      <xdr:colOff>533400</xdr:colOff>
      <xdr:row>1</xdr:row>
      <xdr:rowOff>361950</xdr:rowOff>
    </xdr:to>
    <xdr:sp macro="[0]!Navegar" textlink="">
      <xdr:nvSpPr>
        <xdr:cNvPr id="14" name="nav_4">
          <a:extLst>
            <a:ext uri="{FF2B5EF4-FFF2-40B4-BE49-F238E27FC236}">
              <a16:creationId xmlns:a16="http://schemas.microsoft.com/office/drawing/2014/main" id="{0FCF32FB-D0C5-3EDC-354F-AF44A9A05E6F}"/>
            </a:ext>
          </a:extLst>
        </xdr:cNvPr>
        <xdr:cNvSpPr txBox="1"/>
      </xdr:nvSpPr>
      <xdr:spPr>
        <a:xfrm>
          <a:off x="3505200" y="609600"/>
          <a:ext cx="6858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Metas</a:t>
          </a:r>
        </a:p>
      </xdr:txBody>
    </xdr:sp>
    <xdr:clientData/>
  </xdr:twoCellAnchor>
  <xdr:twoCellAnchor editAs="absolute">
    <xdr:from>
      <xdr:col>7</xdr:col>
      <xdr:colOff>0</xdr:colOff>
      <xdr:row>1</xdr:row>
      <xdr:rowOff>107950</xdr:rowOff>
    </xdr:from>
    <xdr:to>
      <xdr:col>7</xdr:col>
      <xdr:colOff>0</xdr:colOff>
      <xdr:row>1</xdr:row>
      <xdr:rowOff>311150</xdr:rowOff>
    </xdr:to>
    <xdr:cxnSp macro="">
      <xdr:nvCxnSpPr>
        <xdr:cNvPr id="15" name="navSep">
          <a:extLst>
            <a:ext uri="{FF2B5EF4-FFF2-40B4-BE49-F238E27FC236}">
              <a16:creationId xmlns:a16="http://schemas.microsoft.com/office/drawing/2014/main" id="{6DC498F3-CDF3-FCD9-F8EE-54A6088DB570}"/>
            </a:ext>
          </a:extLst>
        </xdr:cNvPr>
        <xdr:cNvCxnSpPr/>
      </xdr:nvCxnSpPr>
      <xdr:spPr>
        <a:xfrm>
          <a:off x="4267200" y="660400"/>
          <a:ext cx="0" cy="203200"/>
        </a:xfrm>
        <a:prstGeom prst="line">
          <a:avLst/>
        </a:prstGeom>
        <a:ln>
          <a:solidFill>
            <a:srgbClr val="E2E8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76200</xdr:colOff>
      <xdr:row>1</xdr:row>
      <xdr:rowOff>57150</xdr:rowOff>
    </xdr:from>
    <xdr:to>
      <xdr:col>9</xdr:col>
      <xdr:colOff>30480</xdr:colOff>
      <xdr:row>1</xdr:row>
      <xdr:rowOff>361950</xdr:rowOff>
    </xdr:to>
    <xdr:sp macro="[0]!Navegar" textlink="">
      <xdr:nvSpPr>
        <xdr:cNvPr id="16" name="nav_5">
          <a:extLst>
            <a:ext uri="{FF2B5EF4-FFF2-40B4-BE49-F238E27FC236}">
              <a16:creationId xmlns:a16="http://schemas.microsoft.com/office/drawing/2014/main" id="{9561CECC-27E5-112A-91D4-50246397801D}"/>
            </a:ext>
          </a:extLst>
        </xdr:cNvPr>
        <xdr:cNvSpPr txBox="1"/>
      </xdr:nvSpPr>
      <xdr:spPr>
        <a:xfrm>
          <a:off x="4343400" y="609600"/>
          <a:ext cx="11734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9</xdr:col>
      <xdr:colOff>81280</xdr:colOff>
      <xdr:row>1</xdr:row>
      <xdr:rowOff>57150</xdr:rowOff>
    </xdr:from>
    <xdr:to>
      <xdr:col>10</xdr:col>
      <xdr:colOff>482600</xdr:colOff>
      <xdr:row>1</xdr:row>
      <xdr:rowOff>361950</xdr:rowOff>
    </xdr:to>
    <xdr:sp macro="[0]!Navegar" textlink="">
      <xdr:nvSpPr>
        <xdr:cNvPr id="17" name="nav_6">
          <a:extLst>
            <a:ext uri="{FF2B5EF4-FFF2-40B4-BE49-F238E27FC236}">
              <a16:creationId xmlns:a16="http://schemas.microsoft.com/office/drawing/2014/main" id="{B9F93272-BD35-9E6E-BB88-BD547DE326FA}"/>
            </a:ext>
          </a:extLst>
        </xdr:cNvPr>
        <xdr:cNvSpPr txBox="1"/>
      </xdr:nvSpPr>
      <xdr:spPr>
        <a:xfrm>
          <a:off x="5567680" y="609600"/>
          <a:ext cx="101092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Orçamento</a:t>
          </a:r>
        </a:p>
      </xdr:txBody>
    </xdr:sp>
    <xdr:clientData/>
  </xdr:twoCellAnchor>
  <xdr:twoCellAnchor editAs="absolute">
    <xdr:from>
      <xdr:col>10</xdr:col>
      <xdr:colOff>533400</xdr:colOff>
      <xdr:row>1</xdr:row>
      <xdr:rowOff>57150</xdr:rowOff>
    </xdr:from>
    <xdr:to>
      <xdr:col>12</xdr:col>
      <xdr:colOff>81280</xdr:colOff>
      <xdr:row>1</xdr:row>
      <xdr:rowOff>361950</xdr:rowOff>
    </xdr:to>
    <xdr:sp macro="[0]!Navegar" textlink="">
      <xdr:nvSpPr>
        <xdr:cNvPr id="18" name="nav_7">
          <a:extLst>
            <a:ext uri="{FF2B5EF4-FFF2-40B4-BE49-F238E27FC236}">
              <a16:creationId xmlns:a16="http://schemas.microsoft.com/office/drawing/2014/main" id="{36185168-E03F-AF1C-21DB-7195EF41323E}"/>
            </a:ext>
          </a:extLst>
        </xdr:cNvPr>
        <xdr:cNvSpPr txBox="1"/>
      </xdr:nvSpPr>
      <xdr:spPr>
        <a:xfrm>
          <a:off x="662940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Rendas</a:t>
          </a:r>
        </a:p>
      </xdr:txBody>
    </xdr:sp>
    <xdr:clientData/>
  </xdr:twoCellAnchor>
  <xdr:twoCellAnchor editAs="absolute">
    <xdr:from>
      <xdr:col>12</xdr:col>
      <xdr:colOff>132080</xdr:colOff>
      <xdr:row>1</xdr:row>
      <xdr:rowOff>57150</xdr:rowOff>
    </xdr:from>
    <xdr:to>
      <xdr:col>14</xdr:col>
      <xdr:colOff>5080</xdr:colOff>
      <xdr:row>1</xdr:row>
      <xdr:rowOff>361950</xdr:rowOff>
    </xdr:to>
    <xdr:sp macro="[0]!Navegar" textlink="">
      <xdr:nvSpPr>
        <xdr:cNvPr id="19" name="nav_8">
          <a:extLst>
            <a:ext uri="{FF2B5EF4-FFF2-40B4-BE49-F238E27FC236}">
              <a16:creationId xmlns:a16="http://schemas.microsoft.com/office/drawing/2014/main" id="{28FB4E46-94F9-2B86-201C-3B38FED5E817}"/>
            </a:ext>
          </a:extLst>
        </xdr:cNvPr>
        <xdr:cNvSpPr txBox="1"/>
      </xdr:nvSpPr>
      <xdr:spPr>
        <a:xfrm>
          <a:off x="7447280" y="609600"/>
          <a:ext cx="10922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Categorias</a:t>
          </a:r>
        </a:p>
      </xdr:txBody>
    </xdr:sp>
    <xdr:clientData/>
  </xdr:twoCellAnchor>
  <xdr:twoCellAnchor editAs="absolute">
    <xdr:from>
      <xdr:col>14</xdr:col>
      <xdr:colOff>208280</xdr:colOff>
      <xdr:row>1</xdr:row>
      <xdr:rowOff>69850</xdr:rowOff>
    </xdr:from>
    <xdr:to>
      <xdr:col>16</xdr:col>
      <xdr:colOff>5080</xdr:colOff>
      <xdr:row>1</xdr:row>
      <xdr:rowOff>323850</xdr:rowOff>
    </xdr:to>
    <xdr:sp macro="[0]!AtualizarPainel" textlink="">
      <xdr:nvSpPr>
        <xdr:cNvPr id="20" name="btAtualizarPainel19">
          <a:extLst>
            <a:ext uri="{FF2B5EF4-FFF2-40B4-BE49-F238E27FC236}">
              <a16:creationId xmlns:a16="http://schemas.microsoft.com/office/drawing/2014/main" id="{E4FB95E1-EE3F-3F49-0E61-F3066AB7F632}"/>
            </a:ext>
          </a:extLst>
        </xdr:cNvPr>
        <xdr:cNvSpPr/>
      </xdr:nvSpPr>
      <xdr:spPr>
        <a:xfrm>
          <a:off x="8742680" y="622300"/>
          <a:ext cx="1016000" cy="254000"/>
        </a:xfrm>
        <a:prstGeom prst="roundRect">
          <a:avLst>
            <a:gd name="adj" fmla="val 20000"/>
          </a:avLst>
        </a:prstGeom>
        <a:solidFill>
          <a:srgbClr val="FFFFFF"/>
        </a:solidFill>
        <a:ln w="9525">
          <a:solidFill>
            <a:srgbClr val="E2E8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850" b="1">
              <a:solidFill>
                <a:srgbClr val="2A6FB8"/>
              </a:solidFill>
              <a:latin typeface="Segoe UI" panose="020B0502040204020203" pitchFamily="34" charset="0"/>
            </a:rPr>
            <a:t>Atualizar</a:t>
          </a:r>
        </a:p>
      </xdr:txBody>
    </xdr:sp>
    <xdr:clientData/>
  </xdr:twoCellAnchor>
  <xdr:twoCellAnchor editAs="absolute">
    <xdr:from>
      <xdr:col>0</xdr:col>
      <xdr:colOff>101600</xdr:colOff>
      <xdr:row>2</xdr:row>
      <xdr:rowOff>133350</xdr:rowOff>
    </xdr:from>
    <xdr:to>
      <xdr:col>4</xdr:col>
      <xdr:colOff>50800</xdr:colOff>
      <xdr:row>46</xdr:row>
      <xdr:rowOff>146050</xdr:rowOff>
    </xdr:to>
    <xdr:sp macro="" textlink="">
      <xdr:nvSpPr>
        <xdr:cNvPr id="21" name="pnFiltros">
          <a:extLst>
            <a:ext uri="{FF2B5EF4-FFF2-40B4-BE49-F238E27FC236}">
              <a16:creationId xmlns:a16="http://schemas.microsoft.com/office/drawing/2014/main" id="{DC1B6F59-2A8C-6F2F-E084-ABC47D04CA75}"/>
            </a:ext>
          </a:extLst>
        </xdr:cNvPr>
        <xdr:cNvSpPr/>
      </xdr:nvSpPr>
      <xdr:spPr>
        <a:xfrm>
          <a:off x="101600" y="1066800"/>
          <a:ext cx="2387600" cy="7975600"/>
        </a:xfrm>
        <a:prstGeom prst="roundRect">
          <a:avLst>
            <a:gd name="adj" fmla="val 5000"/>
          </a:avLst>
        </a:prstGeom>
        <a:solidFill>
          <a:srgbClr val="FFFFFF"/>
        </a:solidFill>
        <a:ln w="9525">
          <a:solidFill>
            <a:srgbClr val="E2E8F0"/>
          </a:solidFill>
        </a:ln>
        <a:effectLst>
          <a:outerShdw blurRad="50800" dist="12700" dir="5400000" rotWithShape="0">
            <a:srgbClr val="000000">
              <a:alpha val="8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254000</xdr:colOff>
      <xdr:row>3</xdr:row>
      <xdr:rowOff>79375</xdr:rowOff>
    </xdr:from>
    <xdr:to>
      <xdr:col>2</xdr:col>
      <xdr:colOff>304800</xdr:colOff>
      <xdr:row>4</xdr:row>
      <xdr:rowOff>127000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9A05E5D7-BB13-E5A4-CFB4-A6F66DC602BB}"/>
            </a:ext>
          </a:extLst>
        </xdr:cNvPr>
        <xdr:cNvSpPr txBox="1"/>
      </xdr:nvSpPr>
      <xdr:spPr>
        <a:xfrm>
          <a:off x="254000" y="1193800"/>
          <a:ext cx="1270000" cy="228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r>
            <a:rPr lang="pt-BR" sz="1100" b="1">
              <a:solidFill>
                <a:srgbClr val="1A202C"/>
              </a:solidFill>
              <a:latin typeface="Segoe UI" panose="020B0502040204020203" pitchFamily="34" charset="0"/>
            </a:rPr>
            <a:t>Filtros</a:t>
          </a:r>
        </a:p>
      </xdr:txBody>
    </xdr:sp>
    <xdr:clientData/>
  </xdr:twoCellAnchor>
  <xdr:twoCellAnchor editAs="absolute">
    <xdr:from>
      <xdr:col>2</xdr:col>
      <xdr:colOff>482600</xdr:colOff>
      <xdr:row>3</xdr:row>
      <xdr:rowOff>53975</xdr:rowOff>
    </xdr:from>
    <xdr:to>
      <xdr:col>3</xdr:col>
      <xdr:colOff>533400</xdr:colOff>
      <xdr:row>4</xdr:row>
      <xdr:rowOff>127000</xdr:rowOff>
    </xdr:to>
    <xdr:sp macro="[0]!LimparFiltros" textlink="">
      <xdr:nvSpPr>
        <xdr:cNvPr id="23" name="btLimparFiltros22">
          <a:extLst>
            <a:ext uri="{FF2B5EF4-FFF2-40B4-BE49-F238E27FC236}">
              <a16:creationId xmlns:a16="http://schemas.microsoft.com/office/drawing/2014/main" id="{5C3C1761-5FE6-7DF8-4DA4-96A7C5A1E140}"/>
            </a:ext>
          </a:extLst>
        </xdr:cNvPr>
        <xdr:cNvSpPr/>
      </xdr:nvSpPr>
      <xdr:spPr>
        <a:xfrm>
          <a:off x="1701800" y="1168400"/>
          <a:ext cx="660400" cy="254000"/>
        </a:xfrm>
        <a:prstGeom prst="roundRect">
          <a:avLst>
            <a:gd name="adj" fmla="val 20000"/>
          </a:avLst>
        </a:prstGeom>
        <a:solidFill>
          <a:srgbClr val="FFFFFF"/>
        </a:solidFill>
        <a:ln w="9525">
          <a:solidFill>
            <a:srgbClr val="E2E8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850" b="1">
              <a:solidFill>
                <a:srgbClr val="2A6FB8"/>
              </a:solidFill>
              <a:latin typeface="Segoe UI" panose="020B0502040204020203" pitchFamily="34" charset="0"/>
            </a:rPr>
            <a:t>Limpar</a:t>
          </a:r>
        </a:p>
      </xdr:txBody>
    </xdr:sp>
    <xdr:clientData/>
  </xdr:twoCellAnchor>
  <xdr:twoCellAnchor editAs="absolute">
    <xdr:from>
      <xdr:col>4</xdr:col>
      <xdr:colOff>165100</xdr:colOff>
      <xdr:row>2</xdr:row>
      <xdr:rowOff>133350</xdr:rowOff>
    </xdr:from>
    <xdr:to>
      <xdr:col>7</xdr:col>
      <xdr:colOff>410633</xdr:colOff>
      <xdr:row>8</xdr:row>
      <xdr:rowOff>114300</xdr:rowOff>
    </xdr:to>
    <xdr:sp macro="" textlink="">
      <xdr:nvSpPr>
        <xdr:cNvPr id="24" name="kpiCard45">
          <a:extLst>
            <a:ext uri="{FF2B5EF4-FFF2-40B4-BE49-F238E27FC236}">
              <a16:creationId xmlns:a16="http://schemas.microsoft.com/office/drawing/2014/main" id="{8C53C734-AF2E-8EA7-5C68-F38AFFA789F7}"/>
            </a:ext>
          </a:extLst>
        </xdr:cNvPr>
        <xdr:cNvSpPr/>
      </xdr:nvSpPr>
      <xdr:spPr>
        <a:xfrm>
          <a:off x="2603500" y="1066800"/>
          <a:ext cx="2074333" cy="1066800"/>
        </a:xfrm>
        <a:prstGeom prst="roundRect">
          <a:avLst>
            <a:gd name="adj" fmla="val 5000"/>
          </a:avLst>
        </a:prstGeom>
        <a:solidFill>
          <a:srgbClr val="FFFFFF"/>
        </a:solidFill>
        <a:ln w="9525">
          <a:solidFill>
            <a:srgbClr val="E2E8F0"/>
          </a:solidFill>
        </a:ln>
        <a:effectLst>
          <a:outerShdw blurRad="50800" dist="12700" dir="5400000" rotWithShape="0">
            <a:srgbClr val="000000">
              <a:alpha val="8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4</xdr:col>
      <xdr:colOff>342900</xdr:colOff>
      <xdr:row>3</xdr:row>
      <xdr:rowOff>79375</xdr:rowOff>
    </xdr:from>
    <xdr:to>
      <xdr:col>7</xdr:col>
      <xdr:colOff>232833</xdr:colOff>
      <xdr:row>4</xdr:row>
      <xdr:rowOff>63500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16EDA8FA-B34D-91BD-C98B-7E4D66C85DCC}"/>
            </a:ext>
          </a:extLst>
        </xdr:cNvPr>
        <xdr:cNvSpPr txBox="1"/>
      </xdr:nvSpPr>
      <xdr:spPr>
        <a:xfrm>
          <a:off x="2781300" y="1193800"/>
          <a:ext cx="1718733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r>
            <a:rPr lang="pt-BR" sz="750" b="1">
              <a:solidFill>
                <a:srgbClr val="64748B"/>
              </a:solidFill>
              <a:latin typeface="Segoe UI" panose="020B0502040204020203" pitchFamily="34" charset="0"/>
            </a:rPr>
            <a:t>RENDA</a:t>
          </a:r>
        </a:p>
      </xdr:txBody>
    </xdr:sp>
    <xdr:clientData/>
  </xdr:twoCellAnchor>
  <xdr:twoCellAnchor editAs="absolute">
    <xdr:from>
      <xdr:col>4</xdr:col>
      <xdr:colOff>342900</xdr:colOff>
      <xdr:row>4</xdr:row>
      <xdr:rowOff>101600</xdr:rowOff>
    </xdr:from>
    <xdr:to>
      <xdr:col>7</xdr:col>
      <xdr:colOff>232833</xdr:colOff>
      <xdr:row>6</xdr:row>
      <xdr:rowOff>95250</xdr:rowOff>
    </xdr:to>
    <xdr:sp macro="" textlink="Calc!$C$45">
      <xdr:nvSpPr>
        <xdr:cNvPr id="26" name="kpiValor45">
          <a:extLst>
            <a:ext uri="{FF2B5EF4-FFF2-40B4-BE49-F238E27FC236}">
              <a16:creationId xmlns:a16="http://schemas.microsoft.com/office/drawing/2014/main" id="{0887C11C-3E39-1FBC-D60D-F5F79C6E3E19}"/>
            </a:ext>
          </a:extLst>
        </xdr:cNvPr>
        <xdr:cNvSpPr txBox="1"/>
      </xdr:nvSpPr>
      <xdr:spPr>
        <a:xfrm>
          <a:off x="2781300" y="1397000"/>
          <a:ext cx="1718733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F37E80C4-434B-4590-98C3-610FD923CC30}" type="TxLink">
            <a:rPr lang="en-US" sz="2000" b="1" i="0" u="none" strike="noStrike">
              <a:solidFill>
                <a:srgbClr val="1A202C"/>
              </a:solidFill>
              <a:latin typeface="Segoe UI" panose="020B0502040204020203" pitchFamily="34" charset="0"/>
              <a:ea typeface="Calibri"/>
              <a:cs typeface="Calibri"/>
            </a:rPr>
            <a:pPr/>
            <a:t>R$ 4.730</a:t>
          </a:fld>
          <a:endParaRPr lang="pt-BR" sz="2000" b="1">
            <a:solidFill>
              <a:srgbClr val="1A202C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4</xdr:col>
      <xdr:colOff>342900</xdr:colOff>
      <xdr:row>7</xdr:row>
      <xdr:rowOff>15875</xdr:rowOff>
    </xdr:from>
    <xdr:to>
      <xdr:col>7</xdr:col>
      <xdr:colOff>232833</xdr:colOff>
      <xdr:row>8</xdr:row>
      <xdr:rowOff>0</xdr:rowOff>
    </xdr:to>
    <xdr:sp macro="" textlink="Calc!$E$45">
      <xdr:nvSpPr>
        <xdr:cNvPr id="27" name="kpiDelta45">
          <a:extLst>
            <a:ext uri="{FF2B5EF4-FFF2-40B4-BE49-F238E27FC236}">
              <a16:creationId xmlns:a16="http://schemas.microsoft.com/office/drawing/2014/main" id="{06B8E8D1-0C8A-0D40-ABFB-90C1924C9D80}"/>
            </a:ext>
          </a:extLst>
        </xdr:cNvPr>
        <xdr:cNvSpPr txBox="1"/>
      </xdr:nvSpPr>
      <xdr:spPr>
        <a:xfrm>
          <a:off x="2781300" y="1854200"/>
          <a:ext cx="1718733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A451F10F-ACD9-42F4-AA38-27A3D5CD3003}" type="TxLink">
            <a:rPr lang="en-US" sz="800" b="0" i="0" u="none" strike="noStrike">
              <a:solidFill>
                <a:srgbClr val="C62828"/>
              </a:solidFill>
              <a:latin typeface="Segoe UI" panose="020B0502040204020203" pitchFamily="34" charset="0"/>
              <a:ea typeface="Calibri"/>
              <a:cs typeface="Calibri"/>
            </a:rPr>
            <a:pPr/>
            <a:t>▼ R$ 1.948 vs previsto</a:t>
          </a:fld>
          <a:endParaRPr lang="pt-BR" sz="800" b="0">
            <a:solidFill>
              <a:srgbClr val="C62828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7</xdr:col>
      <xdr:colOff>537633</xdr:colOff>
      <xdr:row>2</xdr:row>
      <xdr:rowOff>133350</xdr:rowOff>
    </xdr:from>
    <xdr:to>
      <xdr:col>11</xdr:col>
      <xdr:colOff>173566</xdr:colOff>
      <xdr:row>8</xdr:row>
      <xdr:rowOff>114300</xdr:rowOff>
    </xdr:to>
    <xdr:sp macro="" textlink="">
      <xdr:nvSpPr>
        <xdr:cNvPr id="28" name="kpiCard47">
          <a:extLst>
            <a:ext uri="{FF2B5EF4-FFF2-40B4-BE49-F238E27FC236}">
              <a16:creationId xmlns:a16="http://schemas.microsoft.com/office/drawing/2014/main" id="{37DDA911-46AA-9055-B47B-F10BA76FC94C}"/>
            </a:ext>
          </a:extLst>
        </xdr:cNvPr>
        <xdr:cNvSpPr/>
      </xdr:nvSpPr>
      <xdr:spPr>
        <a:xfrm>
          <a:off x="4804833" y="1066800"/>
          <a:ext cx="2074333" cy="1066800"/>
        </a:xfrm>
        <a:prstGeom prst="roundRect">
          <a:avLst>
            <a:gd name="adj" fmla="val 5000"/>
          </a:avLst>
        </a:prstGeom>
        <a:solidFill>
          <a:srgbClr val="FFFFFF"/>
        </a:solidFill>
        <a:ln w="9525">
          <a:solidFill>
            <a:srgbClr val="E2E8F0"/>
          </a:solidFill>
        </a:ln>
        <a:effectLst>
          <a:outerShdw blurRad="50800" dist="12700" dir="5400000" rotWithShape="0">
            <a:srgbClr val="000000">
              <a:alpha val="8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8</xdr:col>
      <xdr:colOff>105833</xdr:colOff>
      <xdr:row>3</xdr:row>
      <xdr:rowOff>79375</xdr:rowOff>
    </xdr:from>
    <xdr:to>
      <xdr:col>10</xdr:col>
      <xdr:colOff>605366</xdr:colOff>
      <xdr:row>4</xdr:row>
      <xdr:rowOff>63500</xdr:rowOff>
    </xdr:to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A50BD413-875E-98F7-EDA9-DC99DE317AA7}"/>
            </a:ext>
          </a:extLst>
        </xdr:cNvPr>
        <xdr:cNvSpPr txBox="1"/>
      </xdr:nvSpPr>
      <xdr:spPr>
        <a:xfrm>
          <a:off x="4982633" y="1193800"/>
          <a:ext cx="1718733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r>
            <a:rPr lang="pt-BR" sz="750" b="1">
              <a:solidFill>
                <a:srgbClr val="64748B"/>
              </a:solidFill>
              <a:latin typeface="Segoe UI" panose="020B0502040204020203" pitchFamily="34" charset="0"/>
            </a:rPr>
            <a:t>DESPESAS</a:t>
          </a:r>
        </a:p>
      </xdr:txBody>
    </xdr:sp>
    <xdr:clientData/>
  </xdr:twoCellAnchor>
  <xdr:twoCellAnchor editAs="absolute">
    <xdr:from>
      <xdr:col>8</xdr:col>
      <xdr:colOff>105833</xdr:colOff>
      <xdr:row>4</xdr:row>
      <xdr:rowOff>101600</xdr:rowOff>
    </xdr:from>
    <xdr:to>
      <xdr:col>10</xdr:col>
      <xdr:colOff>605366</xdr:colOff>
      <xdr:row>6</xdr:row>
      <xdr:rowOff>95250</xdr:rowOff>
    </xdr:to>
    <xdr:sp macro="" textlink="Calc!$C$47">
      <xdr:nvSpPr>
        <xdr:cNvPr id="30" name="kpiValor47">
          <a:extLst>
            <a:ext uri="{FF2B5EF4-FFF2-40B4-BE49-F238E27FC236}">
              <a16:creationId xmlns:a16="http://schemas.microsoft.com/office/drawing/2014/main" id="{454D243F-6181-91D9-0553-8BF5D451C75E}"/>
            </a:ext>
          </a:extLst>
        </xdr:cNvPr>
        <xdr:cNvSpPr txBox="1"/>
      </xdr:nvSpPr>
      <xdr:spPr>
        <a:xfrm>
          <a:off x="4982633" y="1397000"/>
          <a:ext cx="1718733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D493F127-944B-4311-A23C-F52C4E145242}" type="TxLink">
            <a:rPr lang="en-US" sz="2000" b="1" i="0" u="none" strike="noStrike">
              <a:solidFill>
                <a:srgbClr val="1A202C"/>
              </a:solidFill>
              <a:latin typeface="Segoe UI" panose="020B0502040204020203" pitchFamily="34" charset="0"/>
              <a:ea typeface="Calibri"/>
              <a:cs typeface="Calibri"/>
            </a:rPr>
            <a:pPr/>
            <a:t>R$ 3.361</a:t>
          </a:fld>
          <a:endParaRPr lang="pt-BR" sz="2000" b="1">
            <a:solidFill>
              <a:srgbClr val="1A202C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8</xdr:col>
      <xdr:colOff>105833</xdr:colOff>
      <xdr:row>7</xdr:row>
      <xdr:rowOff>15875</xdr:rowOff>
    </xdr:from>
    <xdr:to>
      <xdr:col>10</xdr:col>
      <xdr:colOff>605366</xdr:colOff>
      <xdr:row>8</xdr:row>
      <xdr:rowOff>0</xdr:rowOff>
    </xdr:to>
    <xdr:sp macro="" textlink="Calc!$E$47">
      <xdr:nvSpPr>
        <xdr:cNvPr id="31" name="kpiDelta47">
          <a:extLst>
            <a:ext uri="{FF2B5EF4-FFF2-40B4-BE49-F238E27FC236}">
              <a16:creationId xmlns:a16="http://schemas.microsoft.com/office/drawing/2014/main" id="{29081E44-13CD-64BF-2FA9-4C7C3CC2707A}"/>
            </a:ext>
          </a:extLst>
        </xdr:cNvPr>
        <xdr:cNvSpPr txBox="1"/>
      </xdr:nvSpPr>
      <xdr:spPr>
        <a:xfrm>
          <a:off x="4982633" y="1854200"/>
          <a:ext cx="1718733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480E36C9-2185-4DCC-85CD-6ABFA42A6C48}" type="TxLink">
            <a:rPr lang="en-US" sz="800" b="0" i="0" u="none" strike="noStrike">
              <a:solidFill>
                <a:srgbClr val="2E7D32"/>
              </a:solidFill>
              <a:latin typeface="Segoe UI" panose="020B0502040204020203" pitchFamily="34" charset="0"/>
              <a:ea typeface="Calibri"/>
              <a:cs typeface="Calibri"/>
            </a:rPr>
            <a:pPr/>
            <a:t>▼ R$ 16.221 abaixo do previsto</a:t>
          </a:fld>
          <a:endParaRPr lang="pt-BR" sz="800" b="0">
            <a:solidFill>
              <a:srgbClr val="2E7D32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11</xdr:col>
      <xdr:colOff>300566</xdr:colOff>
      <xdr:row>2</xdr:row>
      <xdr:rowOff>133350</xdr:rowOff>
    </xdr:from>
    <xdr:to>
      <xdr:col>14</xdr:col>
      <xdr:colOff>546099</xdr:colOff>
      <xdr:row>8</xdr:row>
      <xdr:rowOff>114300</xdr:rowOff>
    </xdr:to>
    <xdr:sp macro="" textlink="">
      <xdr:nvSpPr>
        <xdr:cNvPr id="32" name="kpiCard49">
          <a:extLst>
            <a:ext uri="{FF2B5EF4-FFF2-40B4-BE49-F238E27FC236}">
              <a16:creationId xmlns:a16="http://schemas.microsoft.com/office/drawing/2014/main" id="{006F5742-D7CA-F6F1-8ED2-1708F2DD3744}"/>
            </a:ext>
          </a:extLst>
        </xdr:cNvPr>
        <xdr:cNvSpPr/>
      </xdr:nvSpPr>
      <xdr:spPr>
        <a:xfrm>
          <a:off x="7006166" y="1066800"/>
          <a:ext cx="2074333" cy="1066800"/>
        </a:xfrm>
        <a:prstGeom prst="roundRect">
          <a:avLst>
            <a:gd name="adj" fmla="val 5000"/>
          </a:avLst>
        </a:prstGeom>
        <a:solidFill>
          <a:srgbClr val="FFFFFF"/>
        </a:solidFill>
        <a:ln w="9525">
          <a:solidFill>
            <a:srgbClr val="E2E8F0"/>
          </a:solidFill>
        </a:ln>
        <a:effectLst>
          <a:outerShdw blurRad="50800" dist="12700" dir="5400000" rotWithShape="0">
            <a:srgbClr val="000000">
              <a:alpha val="8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11</xdr:col>
      <xdr:colOff>478366</xdr:colOff>
      <xdr:row>3</xdr:row>
      <xdr:rowOff>79375</xdr:rowOff>
    </xdr:from>
    <xdr:to>
      <xdr:col>14</xdr:col>
      <xdr:colOff>368299</xdr:colOff>
      <xdr:row>4</xdr:row>
      <xdr:rowOff>63500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374A201D-7C2E-BCA5-AF60-311113B8F47B}"/>
            </a:ext>
          </a:extLst>
        </xdr:cNvPr>
        <xdr:cNvSpPr txBox="1"/>
      </xdr:nvSpPr>
      <xdr:spPr>
        <a:xfrm>
          <a:off x="7183966" y="1193800"/>
          <a:ext cx="1718733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r>
            <a:rPr lang="pt-BR" sz="750" b="1">
              <a:solidFill>
                <a:srgbClr val="64748B"/>
              </a:solidFill>
              <a:latin typeface="Segoe UI" panose="020B0502040204020203" pitchFamily="34" charset="0"/>
            </a:rPr>
            <a:t>SALDO</a:t>
          </a:r>
        </a:p>
      </xdr:txBody>
    </xdr:sp>
    <xdr:clientData/>
  </xdr:twoCellAnchor>
  <xdr:twoCellAnchor editAs="absolute">
    <xdr:from>
      <xdr:col>11</xdr:col>
      <xdr:colOff>478366</xdr:colOff>
      <xdr:row>4</xdr:row>
      <xdr:rowOff>101600</xdr:rowOff>
    </xdr:from>
    <xdr:to>
      <xdr:col>14</xdr:col>
      <xdr:colOff>368299</xdr:colOff>
      <xdr:row>6</xdr:row>
      <xdr:rowOff>95250</xdr:rowOff>
    </xdr:to>
    <xdr:sp macro="" textlink="Calc!$C$49">
      <xdr:nvSpPr>
        <xdr:cNvPr id="34" name="kpiValor49">
          <a:extLst>
            <a:ext uri="{FF2B5EF4-FFF2-40B4-BE49-F238E27FC236}">
              <a16:creationId xmlns:a16="http://schemas.microsoft.com/office/drawing/2014/main" id="{B43147AF-24EB-C9AC-6884-76034D10B4FD}"/>
            </a:ext>
          </a:extLst>
        </xdr:cNvPr>
        <xdr:cNvSpPr txBox="1"/>
      </xdr:nvSpPr>
      <xdr:spPr>
        <a:xfrm>
          <a:off x="7183966" y="1397000"/>
          <a:ext cx="1718733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0848DEF3-C531-4F5B-AC20-F1630720EE3D}" type="TxLink">
            <a:rPr lang="en-US" sz="2000" b="1" i="0" u="none" strike="noStrike">
              <a:solidFill>
                <a:srgbClr val="1A202C"/>
              </a:solidFill>
              <a:latin typeface="Segoe UI" panose="020B0502040204020203" pitchFamily="34" charset="0"/>
              <a:ea typeface="Calibri"/>
              <a:cs typeface="Calibri"/>
            </a:rPr>
            <a:pPr/>
            <a:t>R$ 1.369</a:t>
          </a:fld>
          <a:endParaRPr lang="pt-BR" sz="2000" b="1">
            <a:solidFill>
              <a:srgbClr val="1A202C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11</xdr:col>
      <xdr:colOff>478366</xdr:colOff>
      <xdr:row>7</xdr:row>
      <xdr:rowOff>15875</xdr:rowOff>
    </xdr:from>
    <xdr:to>
      <xdr:col>14</xdr:col>
      <xdr:colOff>368299</xdr:colOff>
      <xdr:row>8</xdr:row>
      <xdr:rowOff>0</xdr:rowOff>
    </xdr:to>
    <xdr:sp macro="" textlink="Calc!$E$49">
      <xdr:nvSpPr>
        <xdr:cNvPr id="35" name="kpiDelta49">
          <a:extLst>
            <a:ext uri="{FF2B5EF4-FFF2-40B4-BE49-F238E27FC236}">
              <a16:creationId xmlns:a16="http://schemas.microsoft.com/office/drawing/2014/main" id="{CC3BBFBB-54B6-8303-B01F-10D55F3B44C6}"/>
            </a:ext>
          </a:extLst>
        </xdr:cNvPr>
        <xdr:cNvSpPr txBox="1"/>
      </xdr:nvSpPr>
      <xdr:spPr>
        <a:xfrm>
          <a:off x="7183966" y="1854200"/>
          <a:ext cx="1718733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C160659D-A044-4A2A-8E0F-578953EC8C4F}" type="TxLink">
            <a:rPr lang="en-US" sz="800" b="0" i="0" u="none" strike="noStrike">
              <a:solidFill>
                <a:srgbClr val="2E7D32"/>
              </a:solidFill>
              <a:latin typeface="Segoe UI" panose="020B0502040204020203" pitchFamily="34" charset="0"/>
              <a:ea typeface="Calibri"/>
              <a:cs typeface="Calibri"/>
            </a:rPr>
            <a:pPr/>
            <a:t>Previsto -R$ 12.904</a:t>
          </a:fld>
          <a:endParaRPr lang="pt-BR" sz="800" b="0">
            <a:solidFill>
              <a:srgbClr val="2E7D32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15</xdr:col>
      <xdr:colOff>63500</xdr:colOff>
      <xdr:row>2</xdr:row>
      <xdr:rowOff>133350</xdr:rowOff>
    </xdr:from>
    <xdr:to>
      <xdr:col>18</xdr:col>
      <xdr:colOff>309033</xdr:colOff>
      <xdr:row>8</xdr:row>
      <xdr:rowOff>114300</xdr:rowOff>
    </xdr:to>
    <xdr:sp macro="" textlink="">
      <xdr:nvSpPr>
        <xdr:cNvPr id="36" name="kpiCard51">
          <a:extLst>
            <a:ext uri="{FF2B5EF4-FFF2-40B4-BE49-F238E27FC236}">
              <a16:creationId xmlns:a16="http://schemas.microsoft.com/office/drawing/2014/main" id="{523C16D2-2368-149B-57D6-69158F7712C6}"/>
            </a:ext>
          </a:extLst>
        </xdr:cNvPr>
        <xdr:cNvSpPr/>
      </xdr:nvSpPr>
      <xdr:spPr>
        <a:xfrm>
          <a:off x="9207500" y="1066800"/>
          <a:ext cx="2074333" cy="1066800"/>
        </a:xfrm>
        <a:prstGeom prst="roundRect">
          <a:avLst>
            <a:gd name="adj" fmla="val 5000"/>
          </a:avLst>
        </a:prstGeom>
        <a:solidFill>
          <a:srgbClr val="FFFFFF"/>
        </a:solidFill>
        <a:ln w="9525">
          <a:solidFill>
            <a:srgbClr val="E2E8F0"/>
          </a:solidFill>
        </a:ln>
        <a:effectLst>
          <a:outerShdw blurRad="50800" dist="12700" dir="5400000" rotWithShape="0">
            <a:srgbClr val="000000">
              <a:alpha val="8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15</xdr:col>
      <xdr:colOff>241300</xdr:colOff>
      <xdr:row>3</xdr:row>
      <xdr:rowOff>79375</xdr:rowOff>
    </xdr:from>
    <xdr:to>
      <xdr:col>18</xdr:col>
      <xdr:colOff>131233</xdr:colOff>
      <xdr:row>4</xdr:row>
      <xdr:rowOff>63500</xdr:rowOff>
    </xdr:to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52E10D41-7B8F-7A17-8EF2-A7342DBA6C19}"/>
            </a:ext>
          </a:extLst>
        </xdr:cNvPr>
        <xdr:cNvSpPr txBox="1"/>
      </xdr:nvSpPr>
      <xdr:spPr>
        <a:xfrm>
          <a:off x="9385300" y="1193800"/>
          <a:ext cx="1718733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r>
            <a:rPr lang="pt-BR" sz="750" b="1">
              <a:solidFill>
                <a:srgbClr val="64748B"/>
              </a:solidFill>
              <a:latin typeface="Segoe UI" panose="020B0502040204020203" pitchFamily="34" charset="0"/>
            </a:rPr>
            <a:t>% DA RENDA GASTA</a:t>
          </a:r>
        </a:p>
      </xdr:txBody>
    </xdr:sp>
    <xdr:clientData/>
  </xdr:twoCellAnchor>
  <xdr:twoCellAnchor editAs="absolute">
    <xdr:from>
      <xdr:col>15</xdr:col>
      <xdr:colOff>241300</xdr:colOff>
      <xdr:row>4</xdr:row>
      <xdr:rowOff>101600</xdr:rowOff>
    </xdr:from>
    <xdr:to>
      <xdr:col>18</xdr:col>
      <xdr:colOff>131233</xdr:colOff>
      <xdr:row>6</xdr:row>
      <xdr:rowOff>95250</xdr:rowOff>
    </xdr:to>
    <xdr:sp macro="" textlink="Calc!$C$51">
      <xdr:nvSpPr>
        <xdr:cNvPr id="38" name="kpiValor51">
          <a:extLst>
            <a:ext uri="{FF2B5EF4-FFF2-40B4-BE49-F238E27FC236}">
              <a16:creationId xmlns:a16="http://schemas.microsoft.com/office/drawing/2014/main" id="{CEF47B72-FE4C-0876-89DD-D98C3B5BCD94}"/>
            </a:ext>
          </a:extLst>
        </xdr:cNvPr>
        <xdr:cNvSpPr txBox="1"/>
      </xdr:nvSpPr>
      <xdr:spPr>
        <a:xfrm>
          <a:off x="9385300" y="1397000"/>
          <a:ext cx="1718733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2F8378E6-077A-47B3-BD39-A3228AF829C5}" type="TxLink">
            <a:rPr lang="en-US" sz="2000" b="1" i="0" u="none" strike="noStrike">
              <a:solidFill>
                <a:srgbClr val="1A202C"/>
              </a:solidFill>
              <a:latin typeface="Segoe UI" panose="020B0502040204020203" pitchFamily="34" charset="0"/>
              <a:ea typeface="Calibri"/>
              <a:cs typeface="Calibri"/>
            </a:rPr>
            <a:pPr/>
            <a:t>71%</a:t>
          </a:fld>
          <a:endParaRPr lang="pt-BR" sz="2000" b="1">
            <a:solidFill>
              <a:srgbClr val="1A202C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15</xdr:col>
      <xdr:colOff>241300</xdr:colOff>
      <xdr:row>7</xdr:row>
      <xdr:rowOff>15875</xdr:rowOff>
    </xdr:from>
    <xdr:to>
      <xdr:col>18</xdr:col>
      <xdr:colOff>131233</xdr:colOff>
      <xdr:row>8</xdr:row>
      <xdr:rowOff>0</xdr:rowOff>
    </xdr:to>
    <xdr:sp macro="" textlink="Calc!$E$51">
      <xdr:nvSpPr>
        <xdr:cNvPr id="39" name="kpiDelta51">
          <a:extLst>
            <a:ext uri="{FF2B5EF4-FFF2-40B4-BE49-F238E27FC236}">
              <a16:creationId xmlns:a16="http://schemas.microsoft.com/office/drawing/2014/main" id="{4C905A93-0CCA-8E53-63F6-CE7D67360B4A}"/>
            </a:ext>
          </a:extLst>
        </xdr:cNvPr>
        <xdr:cNvSpPr txBox="1"/>
      </xdr:nvSpPr>
      <xdr:spPr>
        <a:xfrm>
          <a:off x="9385300" y="1854200"/>
          <a:ext cx="1718733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3140884E-7D73-4341-86F1-2345F8E57AA6}" type="TxLink">
            <a:rPr lang="en-US" sz="800" b="0" i="0" u="none" strike="noStrike">
              <a:solidFill>
                <a:srgbClr val="2E7D32"/>
              </a:solidFill>
              <a:latin typeface="Segoe UI" panose="020B0502040204020203" pitchFamily="34" charset="0"/>
              <a:ea typeface="Calibri"/>
              <a:cs typeface="Calibri"/>
            </a:rPr>
            <a:pPr/>
            <a:t>Saudável</a:t>
          </a:fld>
          <a:endParaRPr lang="pt-BR" sz="800" b="0">
            <a:solidFill>
              <a:srgbClr val="2E7D32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18</xdr:col>
      <xdr:colOff>436033</xdr:colOff>
      <xdr:row>2</xdr:row>
      <xdr:rowOff>133350</xdr:rowOff>
    </xdr:from>
    <xdr:to>
      <xdr:col>22</xdr:col>
      <xdr:colOff>71966</xdr:colOff>
      <xdr:row>8</xdr:row>
      <xdr:rowOff>114300</xdr:rowOff>
    </xdr:to>
    <xdr:sp macro="" textlink="">
      <xdr:nvSpPr>
        <xdr:cNvPr id="40" name="kpiCard52">
          <a:extLst>
            <a:ext uri="{FF2B5EF4-FFF2-40B4-BE49-F238E27FC236}">
              <a16:creationId xmlns:a16="http://schemas.microsoft.com/office/drawing/2014/main" id="{6C86F916-0F99-EBA7-C4E0-0630CD2FE0D6}"/>
            </a:ext>
          </a:extLst>
        </xdr:cNvPr>
        <xdr:cNvSpPr/>
      </xdr:nvSpPr>
      <xdr:spPr>
        <a:xfrm>
          <a:off x="11408833" y="1066800"/>
          <a:ext cx="2074333" cy="1066800"/>
        </a:xfrm>
        <a:prstGeom prst="roundRect">
          <a:avLst>
            <a:gd name="adj" fmla="val 5000"/>
          </a:avLst>
        </a:prstGeom>
        <a:solidFill>
          <a:srgbClr val="FFFFFF"/>
        </a:solidFill>
        <a:ln w="9525">
          <a:solidFill>
            <a:srgbClr val="E2E8F0"/>
          </a:solidFill>
        </a:ln>
        <a:effectLst>
          <a:outerShdw blurRad="50800" dist="12700" dir="5400000" rotWithShape="0">
            <a:srgbClr val="000000">
              <a:alpha val="8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4233</xdr:colOff>
      <xdr:row>3</xdr:row>
      <xdr:rowOff>79375</xdr:rowOff>
    </xdr:from>
    <xdr:to>
      <xdr:col>21</xdr:col>
      <xdr:colOff>503766</xdr:colOff>
      <xdr:row>4</xdr:row>
      <xdr:rowOff>63500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AD20D220-DC2B-D433-59E4-A3515E6BA8AF}"/>
            </a:ext>
          </a:extLst>
        </xdr:cNvPr>
        <xdr:cNvSpPr txBox="1"/>
      </xdr:nvSpPr>
      <xdr:spPr>
        <a:xfrm>
          <a:off x="11586633" y="1193800"/>
          <a:ext cx="1718733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r>
            <a:rPr lang="pt-BR" sz="750" b="1">
              <a:solidFill>
                <a:srgbClr val="64748B"/>
              </a:solidFill>
              <a:latin typeface="Segoe UI" panose="020B0502040204020203" pitchFamily="34" charset="0"/>
            </a:rPr>
            <a:t>ORÇAMENTO USADO</a:t>
          </a:r>
        </a:p>
      </xdr:txBody>
    </xdr:sp>
    <xdr:clientData/>
  </xdr:twoCellAnchor>
  <xdr:twoCellAnchor editAs="absolute">
    <xdr:from>
      <xdr:col>19</xdr:col>
      <xdr:colOff>4233</xdr:colOff>
      <xdr:row>4</xdr:row>
      <xdr:rowOff>101600</xdr:rowOff>
    </xdr:from>
    <xdr:to>
      <xdr:col>21</xdr:col>
      <xdr:colOff>503766</xdr:colOff>
      <xdr:row>6</xdr:row>
      <xdr:rowOff>95250</xdr:rowOff>
    </xdr:to>
    <xdr:sp macro="" textlink="Calc!$C$52">
      <xdr:nvSpPr>
        <xdr:cNvPr id="42" name="kpiValor52">
          <a:extLst>
            <a:ext uri="{FF2B5EF4-FFF2-40B4-BE49-F238E27FC236}">
              <a16:creationId xmlns:a16="http://schemas.microsoft.com/office/drawing/2014/main" id="{8C5518E8-81C1-4871-D0E7-D973C4C3C0FD}"/>
            </a:ext>
          </a:extLst>
        </xdr:cNvPr>
        <xdr:cNvSpPr txBox="1"/>
      </xdr:nvSpPr>
      <xdr:spPr>
        <a:xfrm>
          <a:off x="11586633" y="1397000"/>
          <a:ext cx="1718733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7DEF267B-B73D-4594-BC83-834D082AA575}" type="TxLink">
            <a:rPr lang="en-US" sz="2000" b="1" i="0" u="none" strike="noStrike">
              <a:solidFill>
                <a:srgbClr val="1A202C"/>
              </a:solidFill>
              <a:latin typeface="Segoe UI" panose="020B0502040204020203" pitchFamily="34" charset="0"/>
              <a:ea typeface="Calibri"/>
              <a:cs typeface="Calibri"/>
            </a:rPr>
            <a:pPr/>
            <a:t>17%</a:t>
          </a:fld>
          <a:endParaRPr lang="pt-BR" sz="2000" b="1">
            <a:solidFill>
              <a:srgbClr val="1A202C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19</xdr:col>
      <xdr:colOff>4233</xdr:colOff>
      <xdr:row>7</xdr:row>
      <xdr:rowOff>15875</xdr:rowOff>
    </xdr:from>
    <xdr:to>
      <xdr:col>21</xdr:col>
      <xdr:colOff>503766</xdr:colOff>
      <xdr:row>8</xdr:row>
      <xdr:rowOff>0</xdr:rowOff>
    </xdr:to>
    <xdr:sp macro="" textlink="Calc!$E$52">
      <xdr:nvSpPr>
        <xdr:cNvPr id="43" name="kpiDelta52">
          <a:extLst>
            <a:ext uri="{FF2B5EF4-FFF2-40B4-BE49-F238E27FC236}">
              <a16:creationId xmlns:a16="http://schemas.microsoft.com/office/drawing/2014/main" id="{F80C35ED-9468-9153-C978-A0AF84D584A9}"/>
            </a:ext>
          </a:extLst>
        </xdr:cNvPr>
        <xdr:cNvSpPr txBox="1"/>
      </xdr:nvSpPr>
      <xdr:spPr>
        <a:xfrm>
          <a:off x="11586633" y="1854200"/>
          <a:ext cx="1718733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4239BF31-0197-49E0-AD0D-94DB7948C37F}" type="TxLink">
            <a:rPr lang="en-US" sz="800" b="0" i="0" u="none" strike="noStrike">
              <a:solidFill>
                <a:srgbClr val="2E7D32"/>
              </a:solidFill>
              <a:latin typeface="Segoe UI" panose="020B0502040204020203" pitchFamily="34" charset="0"/>
              <a:ea typeface="Calibri"/>
              <a:cs typeface="Calibri"/>
            </a:rPr>
            <a:pPr/>
            <a:t>de R$ 19.582 · média R$ 3.361/mês</a:t>
          </a:fld>
          <a:endParaRPr lang="pt-BR" sz="800" b="0">
            <a:solidFill>
              <a:srgbClr val="2E7D32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22</xdr:col>
      <xdr:colOff>198966</xdr:colOff>
      <xdr:row>2</xdr:row>
      <xdr:rowOff>133350</xdr:rowOff>
    </xdr:from>
    <xdr:to>
      <xdr:col>25</xdr:col>
      <xdr:colOff>444500</xdr:colOff>
      <xdr:row>8</xdr:row>
      <xdr:rowOff>114300</xdr:rowOff>
    </xdr:to>
    <xdr:sp macro="" textlink="">
      <xdr:nvSpPr>
        <xdr:cNvPr id="44" name="kpiCard60">
          <a:extLst>
            <a:ext uri="{FF2B5EF4-FFF2-40B4-BE49-F238E27FC236}">
              <a16:creationId xmlns:a16="http://schemas.microsoft.com/office/drawing/2014/main" id="{8C953162-C3BC-CF53-2629-18F3F8387D12}"/>
            </a:ext>
          </a:extLst>
        </xdr:cNvPr>
        <xdr:cNvSpPr/>
      </xdr:nvSpPr>
      <xdr:spPr>
        <a:xfrm>
          <a:off x="13610166" y="1066800"/>
          <a:ext cx="2074334" cy="1066800"/>
        </a:xfrm>
        <a:prstGeom prst="roundRect">
          <a:avLst>
            <a:gd name="adj" fmla="val 5000"/>
          </a:avLst>
        </a:prstGeom>
        <a:solidFill>
          <a:srgbClr val="FFFFFF"/>
        </a:solidFill>
        <a:ln w="9525">
          <a:solidFill>
            <a:srgbClr val="E2E8F0"/>
          </a:solidFill>
        </a:ln>
        <a:effectLst>
          <a:outerShdw blurRad="50800" dist="12700" dir="5400000" rotWithShape="0">
            <a:srgbClr val="000000">
              <a:alpha val="8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22</xdr:col>
      <xdr:colOff>376766</xdr:colOff>
      <xdr:row>3</xdr:row>
      <xdr:rowOff>79375</xdr:rowOff>
    </xdr:from>
    <xdr:to>
      <xdr:col>25</xdr:col>
      <xdr:colOff>266699</xdr:colOff>
      <xdr:row>4</xdr:row>
      <xdr:rowOff>63500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F894D62D-EDA0-F1C4-1E6B-A2085F21DCE4}"/>
            </a:ext>
          </a:extLst>
        </xdr:cNvPr>
        <xdr:cNvSpPr txBox="1"/>
      </xdr:nvSpPr>
      <xdr:spPr>
        <a:xfrm>
          <a:off x="13787966" y="1193800"/>
          <a:ext cx="1718733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r>
            <a:rPr lang="pt-BR" sz="750" b="1">
              <a:solidFill>
                <a:srgbClr val="64748B"/>
              </a:solidFill>
              <a:latin typeface="Segoe UI" panose="020B0502040204020203" pitchFamily="34" charset="0"/>
            </a:rPr>
            <a:t>CONTAS EM ABERTO</a:t>
          </a:r>
        </a:p>
      </xdr:txBody>
    </xdr:sp>
    <xdr:clientData/>
  </xdr:twoCellAnchor>
  <xdr:twoCellAnchor editAs="absolute">
    <xdr:from>
      <xdr:col>22</xdr:col>
      <xdr:colOff>376766</xdr:colOff>
      <xdr:row>4</xdr:row>
      <xdr:rowOff>101600</xdr:rowOff>
    </xdr:from>
    <xdr:to>
      <xdr:col>25</xdr:col>
      <xdr:colOff>266699</xdr:colOff>
      <xdr:row>6</xdr:row>
      <xdr:rowOff>95250</xdr:rowOff>
    </xdr:to>
    <xdr:sp macro="" textlink="Calc!$C$60">
      <xdr:nvSpPr>
        <xdr:cNvPr id="46" name="kpiValor60">
          <a:extLst>
            <a:ext uri="{FF2B5EF4-FFF2-40B4-BE49-F238E27FC236}">
              <a16:creationId xmlns:a16="http://schemas.microsoft.com/office/drawing/2014/main" id="{52ABFE1A-F77D-9FFD-C3B7-197FB74460CA}"/>
            </a:ext>
          </a:extLst>
        </xdr:cNvPr>
        <xdr:cNvSpPr txBox="1"/>
      </xdr:nvSpPr>
      <xdr:spPr>
        <a:xfrm>
          <a:off x="13787966" y="1397000"/>
          <a:ext cx="1718733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10090F66-72A1-4878-B548-C531C80ECA55}" type="TxLink">
            <a:rPr lang="en-US" sz="2000" b="1" i="0" u="none" strike="noStrike">
              <a:solidFill>
                <a:srgbClr val="1A202C"/>
              </a:solidFill>
              <a:latin typeface="Segoe UI" panose="020B0502040204020203" pitchFamily="34" charset="0"/>
              <a:ea typeface="Calibri"/>
              <a:cs typeface="Calibri"/>
            </a:rPr>
            <a:pPr/>
            <a:t>R$ 0</a:t>
          </a:fld>
          <a:endParaRPr lang="pt-BR" sz="2000" b="1">
            <a:solidFill>
              <a:srgbClr val="1A202C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22</xdr:col>
      <xdr:colOff>376766</xdr:colOff>
      <xdr:row>7</xdr:row>
      <xdr:rowOff>15875</xdr:rowOff>
    </xdr:from>
    <xdr:to>
      <xdr:col>25</xdr:col>
      <xdr:colOff>266699</xdr:colOff>
      <xdr:row>8</xdr:row>
      <xdr:rowOff>0</xdr:rowOff>
    </xdr:to>
    <xdr:sp macro="" textlink="Calc!$E$60">
      <xdr:nvSpPr>
        <xdr:cNvPr id="47" name="kpiDelta60">
          <a:extLst>
            <a:ext uri="{FF2B5EF4-FFF2-40B4-BE49-F238E27FC236}">
              <a16:creationId xmlns:a16="http://schemas.microsoft.com/office/drawing/2014/main" id="{A6507BC0-A5F5-0DE1-7243-286FA0D128B3}"/>
            </a:ext>
          </a:extLst>
        </xdr:cNvPr>
        <xdr:cNvSpPr txBox="1"/>
      </xdr:nvSpPr>
      <xdr:spPr>
        <a:xfrm>
          <a:off x="13787966" y="1854200"/>
          <a:ext cx="1718733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87CA2C26-28DE-4665-A6AC-21E38CE84C19}" type="TxLink">
            <a:rPr lang="en-US" sz="800" b="0" i="0" u="none" strike="noStrike">
              <a:solidFill>
                <a:srgbClr val="2E7D32"/>
              </a:solidFill>
              <a:latin typeface="Segoe UI" panose="020B0502040204020203" pitchFamily="34" charset="0"/>
              <a:ea typeface="Calibri"/>
              <a:cs typeface="Calibri"/>
            </a:rPr>
            <a:pPr/>
            <a:t>Nenhuma conta em aberto</a:t>
          </a:fld>
          <a:endParaRPr lang="pt-BR" sz="800" b="0">
            <a:solidFill>
              <a:srgbClr val="2E7D32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4</xdr:col>
      <xdr:colOff>165100</xdr:colOff>
      <xdr:row>9</xdr:row>
      <xdr:rowOff>60325</xdr:rowOff>
    </xdr:from>
    <xdr:to>
      <xdr:col>16</xdr:col>
      <xdr:colOff>469900</xdr:colOff>
      <xdr:row>27</xdr:row>
      <xdr:rowOff>130175</xdr:rowOff>
    </xdr:to>
    <xdr:graphicFrame macro="">
      <xdr:nvGraphicFramePr>
        <xdr:cNvPr id="48" name="gMeses">
          <a:extLst>
            <a:ext uri="{FF2B5EF4-FFF2-40B4-BE49-F238E27FC236}">
              <a16:creationId xmlns:a16="http://schemas.microsoft.com/office/drawing/2014/main" id="{35913EA2-9B30-8DB0-C57B-0D23533F9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16</xdr:col>
      <xdr:colOff>596900</xdr:colOff>
      <xdr:row>9</xdr:row>
      <xdr:rowOff>60325</xdr:rowOff>
    </xdr:from>
    <xdr:to>
      <xdr:col>25</xdr:col>
      <xdr:colOff>444500</xdr:colOff>
      <xdr:row>27</xdr:row>
      <xdr:rowOff>130175</xdr:rowOff>
    </xdr:to>
    <xdr:graphicFrame macro="">
      <xdr:nvGraphicFramePr>
        <xdr:cNvPr id="49" name="gTop">
          <a:extLst>
            <a:ext uri="{FF2B5EF4-FFF2-40B4-BE49-F238E27FC236}">
              <a16:creationId xmlns:a16="http://schemas.microsoft.com/office/drawing/2014/main" id="{43D1F1B8-4999-61C8-B525-9E9FA5312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4</xdr:col>
      <xdr:colOff>165100</xdr:colOff>
      <xdr:row>28</xdr:row>
      <xdr:rowOff>76200</xdr:rowOff>
    </xdr:from>
    <xdr:to>
      <xdr:col>16</xdr:col>
      <xdr:colOff>469900</xdr:colOff>
      <xdr:row>46</xdr:row>
      <xdr:rowOff>146050</xdr:rowOff>
    </xdr:to>
    <xdr:graphicFrame macro="">
      <xdr:nvGraphicFramePr>
        <xdr:cNvPr id="50" name="gGrupos">
          <a:extLst>
            <a:ext uri="{FF2B5EF4-FFF2-40B4-BE49-F238E27FC236}">
              <a16:creationId xmlns:a16="http://schemas.microsoft.com/office/drawing/2014/main" id="{261222B3-26FE-42FA-C931-A3876BC41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16</xdr:col>
      <xdr:colOff>596900</xdr:colOff>
      <xdr:row>28</xdr:row>
      <xdr:rowOff>76200</xdr:rowOff>
    </xdr:from>
    <xdr:to>
      <xdr:col>25</xdr:col>
      <xdr:colOff>444500</xdr:colOff>
      <xdr:row>46</xdr:row>
      <xdr:rowOff>146050</xdr:rowOff>
    </xdr:to>
    <xdr:graphicFrame macro="">
      <xdr:nvGraphicFramePr>
        <xdr:cNvPr id="51" name="gMetas">
          <a:extLst>
            <a:ext uri="{FF2B5EF4-FFF2-40B4-BE49-F238E27FC236}">
              <a16:creationId xmlns:a16="http://schemas.microsoft.com/office/drawing/2014/main" id="{88FA0C63-9BC4-0F26-4D56-B44139B27B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203200</xdr:colOff>
      <xdr:row>5</xdr:row>
      <xdr:rowOff>22225</xdr:rowOff>
    </xdr:from>
    <xdr:to>
      <xdr:col>3</xdr:col>
      <xdr:colOff>558800</xdr:colOff>
      <xdr:row>16</xdr:row>
      <xdr:rowOff>139700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2" name="slPainel0">
              <a:extLst>
                <a:ext uri="{FF2B5EF4-FFF2-40B4-BE49-F238E27FC236}">
                  <a16:creationId xmlns:a16="http://schemas.microsoft.com/office/drawing/2014/main" id="{38B52C32-5AF4-C36A-3AA3-EA665E1A8DBF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Painel0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3200" y="1486694"/>
              <a:ext cx="2177256" cy="20820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203200</xdr:colOff>
      <xdr:row>17</xdr:row>
      <xdr:rowOff>60325</xdr:rowOff>
    </xdr:from>
    <xdr:to>
      <xdr:col>3</xdr:col>
      <xdr:colOff>558800</xdr:colOff>
      <xdr:row>31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3" name="slPainel1">
              <a:extLst>
                <a:ext uri="{FF2B5EF4-FFF2-40B4-BE49-F238E27FC236}">
                  <a16:creationId xmlns:a16="http://schemas.microsoft.com/office/drawing/2014/main" id="{46B326AD-7643-C375-86C5-631ACCA8E6B3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Painel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3200" y="3667919"/>
              <a:ext cx="2177256" cy="25828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203200</xdr:colOff>
      <xdr:row>32</xdr:row>
      <xdr:rowOff>63500</xdr:rowOff>
    </xdr:from>
    <xdr:to>
      <xdr:col>3</xdr:col>
      <xdr:colOff>558800</xdr:colOff>
      <xdr:row>38</xdr:row>
      <xdr:rowOff>120650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4" name="slPainel2">
              <a:extLst>
                <a:ext uri="{FF2B5EF4-FFF2-40B4-BE49-F238E27FC236}">
                  <a16:creationId xmlns:a16="http://schemas.microsoft.com/office/drawing/2014/main" id="{485DADA0-A9BB-B2E4-917C-C2289D9B7A72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Painel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3200" y="6350000"/>
              <a:ext cx="2177256" cy="11287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203200</xdr:colOff>
      <xdr:row>39</xdr:row>
      <xdr:rowOff>41275</xdr:rowOff>
    </xdr:from>
    <xdr:to>
      <xdr:col>3</xdr:col>
      <xdr:colOff>558800</xdr:colOff>
      <xdr:row>46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5" name="slPainel3">
              <a:extLst>
                <a:ext uri="{FF2B5EF4-FFF2-40B4-BE49-F238E27FC236}">
                  <a16:creationId xmlns:a16="http://schemas.microsoft.com/office/drawing/2014/main" id="{DD0ED9A7-75CB-A2A6-50D9-967D0C9722A7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Painel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3200" y="7577931"/>
              <a:ext cx="2177256" cy="13803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19</xdr:col>
      <xdr:colOff>352425</xdr:colOff>
      <xdr:row>1</xdr:row>
      <xdr:rowOff>6350</xdr:rowOff>
    </xdr:to>
    <xdr:sp macro="" textlink="">
      <xdr:nvSpPr>
        <xdr:cNvPr id="2" name="cabFundo">
          <a:extLst>
            <a:ext uri="{FF2B5EF4-FFF2-40B4-BE49-F238E27FC236}">
              <a16:creationId xmlns:a16="http://schemas.microsoft.com/office/drawing/2014/main" id="{CED3F04F-10D0-A4E5-6771-EEDC0AE73C62}"/>
            </a:ext>
          </a:extLst>
        </xdr:cNvPr>
        <xdr:cNvSpPr/>
      </xdr:nvSpPr>
      <xdr:spPr>
        <a:xfrm>
          <a:off x="0" y="0"/>
          <a:ext cx="16192500" cy="558800"/>
        </a:xfrm>
        <a:prstGeom prst="rect">
          <a:avLst/>
        </a:prstGeom>
        <a:solidFill>
          <a:srgbClr val="0B1F3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228600</xdr:colOff>
      <xdr:row>0</xdr:row>
      <xdr:rowOff>76200</xdr:rowOff>
    </xdr:from>
    <xdr:to>
      <xdr:col>2</xdr:col>
      <xdr:colOff>504825</xdr:colOff>
      <xdr:row>0</xdr:row>
      <xdr:rowOff>330200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A32A1F4A-D6A2-3958-0D61-2E6134BCE7BF}"/>
            </a:ext>
          </a:extLst>
        </xdr:cNvPr>
        <xdr:cNvSpPr txBox="1"/>
      </xdr:nvSpPr>
      <xdr:spPr>
        <a:xfrm>
          <a:off x="228600" y="76200"/>
          <a:ext cx="3810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r>
            <a:rPr lang="pt-BR" sz="1400" b="1">
              <a:solidFill>
                <a:srgbClr val="FFFFFF"/>
              </a:solidFill>
              <a:latin typeface="Segoe UI" panose="020B0502040204020203" pitchFamily="34" charset="0"/>
            </a:rPr>
            <a:t>Casa Organizada</a:t>
          </a:r>
        </a:p>
      </xdr:txBody>
    </xdr:sp>
    <xdr:clientData/>
  </xdr:twoCellAnchor>
  <xdr:twoCellAnchor editAs="absolute">
    <xdr:from>
      <xdr:col>0</xdr:col>
      <xdr:colOff>228600</xdr:colOff>
      <xdr:row>0</xdr:row>
      <xdr:rowOff>330200</xdr:rowOff>
    </xdr:from>
    <xdr:to>
      <xdr:col>2</xdr:col>
      <xdr:colOff>504825</xdr:colOff>
      <xdr:row>0</xdr:row>
      <xdr:rowOff>482600</xdr:rowOff>
    </xdr:to>
    <xdr:sp macro="" textlink="Calc!$C$58">
      <xdr:nvSpPr>
        <xdr:cNvPr id="4" name="cabPeriodo">
          <a:extLst>
            <a:ext uri="{FF2B5EF4-FFF2-40B4-BE49-F238E27FC236}">
              <a16:creationId xmlns:a16="http://schemas.microsoft.com/office/drawing/2014/main" id="{36165E68-F7AF-3E2E-30AE-20D69462BEEE}"/>
            </a:ext>
          </a:extLst>
        </xdr:cNvPr>
        <xdr:cNvSpPr txBox="1"/>
      </xdr:nvSpPr>
      <xdr:spPr>
        <a:xfrm>
          <a:off x="228600" y="330200"/>
          <a:ext cx="38100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D7534D4D-3D79-466E-909E-801F376BAB81}" type="TxLink">
            <a:rPr lang="en-US" sz="850" b="0" i="0" u="none" strike="noStrike">
              <a:solidFill>
                <a:srgbClr val="A5B4C8"/>
              </a:solidFill>
              <a:latin typeface="Segoe UI" panose="020B0502040204020203" pitchFamily="34" charset="0"/>
              <a:ea typeface="Calibri"/>
              <a:cs typeface="Calibri"/>
            </a:rPr>
            <a:pPr/>
            <a:t>JAN de 2025</a:t>
          </a:fld>
          <a:endParaRPr lang="pt-BR" sz="850" b="0">
            <a:solidFill>
              <a:srgbClr val="A5B4C8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1127125</xdr:colOff>
      <xdr:row>0</xdr:row>
      <xdr:rowOff>203200</xdr:rowOff>
    </xdr:from>
    <xdr:to>
      <xdr:col>5</xdr:col>
      <xdr:colOff>685800</xdr:colOff>
      <xdr:row>0</xdr:row>
      <xdr:rowOff>381000</xdr:rowOff>
    </xdr:to>
    <xdr:sp macro="" textlink="Calc!$C$56">
      <xdr:nvSpPr>
        <xdr:cNvPr id="5" name="chipStatus">
          <a:extLst>
            <a:ext uri="{FF2B5EF4-FFF2-40B4-BE49-F238E27FC236}">
              <a16:creationId xmlns:a16="http://schemas.microsoft.com/office/drawing/2014/main" id="{F83F3358-172F-D694-97C2-D3584F1AACFE}"/>
            </a:ext>
          </a:extLst>
        </xdr:cNvPr>
        <xdr:cNvSpPr txBox="1"/>
      </xdr:nvSpPr>
      <xdr:spPr>
        <a:xfrm>
          <a:off x="3175000" y="203200"/>
          <a:ext cx="330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8A7B273E-0E95-4D85-917A-5404B740DFCB}" type="TxLink">
            <a:rPr lang="en-US" sz="900" b="1" i="0" u="none" strike="noStrike">
              <a:solidFill>
                <a:srgbClr val="86EFAC"/>
              </a:solidFill>
              <a:latin typeface="Segoe UI" panose="020B0502040204020203" pitchFamily="34" charset="0"/>
              <a:ea typeface="Calibri"/>
              <a:cs typeface="Calibri"/>
            </a:rPr>
            <a:pPr/>
            <a:t>✓ Dados consistentes</a:t>
          </a:fld>
          <a:endParaRPr lang="pt-BR" sz="900" b="1">
            <a:solidFill>
              <a:srgbClr val="86EFAC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9</xdr:col>
      <xdr:colOff>596900</xdr:colOff>
      <xdr:row>0</xdr:row>
      <xdr:rowOff>114300</xdr:rowOff>
    </xdr:from>
    <xdr:to>
      <xdr:col>12</xdr:col>
      <xdr:colOff>15875</xdr:colOff>
      <xdr:row>0</xdr:row>
      <xdr:rowOff>444500</xdr:rowOff>
    </xdr:to>
    <xdr:sp macro="[0]!IrCadastro" textlink="">
      <xdr:nvSpPr>
        <xdr:cNvPr id="6" name="btIrCadastro5">
          <a:extLst>
            <a:ext uri="{FF2B5EF4-FFF2-40B4-BE49-F238E27FC236}">
              <a16:creationId xmlns:a16="http://schemas.microsoft.com/office/drawing/2014/main" id="{CA297B8D-3D6A-EAA2-EEA9-4C226CDB6204}"/>
            </a:ext>
          </a:extLst>
        </xdr:cNvPr>
        <xdr:cNvSpPr/>
      </xdr:nvSpPr>
      <xdr:spPr>
        <a:xfrm>
          <a:off x="9398000" y="114300"/>
          <a:ext cx="1676400" cy="330200"/>
        </a:xfrm>
        <a:prstGeom prst="roundRect">
          <a:avLst>
            <a:gd name="adj" fmla="val 20000"/>
          </a:avLst>
        </a:prstGeom>
        <a:solidFill>
          <a:srgbClr val="C9A22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950" b="1">
              <a:solidFill>
                <a:srgbClr val="0B1F3A"/>
              </a:solidFill>
              <a:latin typeface="Segoe UI" panose="020B0502040204020203" pitchFamily="34" charset="0"/>
            </a:rPr>
            <a:t>+ Lançar gasto</a:t>
          </a:r>
        </a:p>
      </xdr:txBody>
    </xdr:sp>
    <xdr:clientData/>
  </xdr:twoCellAnchor>
  <xdr:twoCellAnchor editAs="absolute">
    <xdr:from>
      <xdr:col>0</xdr:col>
      <xdr:colOff>0</xdr:colOff>
      <xdr:row>1</xdr:row>
      <xdr:rowOff>6350</xdr:rowOff>
    </xdr:from>
    <xdr:to>
      <xdr:col>19</xdr:col>
      <xdr:colOff>352425</xdr:colOff>
      <xdr:row>2</xdr:row>
      <xdr:rowOff>6350</xdr:rowOff>
    </xdr:to>
    <xdr:sp macro="" textlink="">
      <xdr:nvSpPr>
        <xdr:cNvPr id="7" name="navFundo">
          <a:extLst>
            <a:ext uri="{FF2B5EF4-FFF2-40B4-BE49-F238E27FC236}">
              <a16:creationId xmlns:a16="http://schemas.microsoft.com/office/drawing/2014/main" id="{E4E3B688-B707-6966-7347-EC6ED1744218}"/>
            </a:ext>
          </a:extLst>
        </xdr:cNvPr>
        <xdr:cNvSpPr/>
      </xdr:nvSpPr>
      <xdr:spPr>
        <a:xfrm>
          <a:off x="0" y="558800"/>
          <a:ext cx="16192500" cy="3810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0</xdr:colOff>
      <xdr:row>2</xdr:row>
      <xdr:rowOff>6350</xdr:rowOff>
    </xdr:from>
    <xdr:to>
      <xdr:col>19</xdr:col>
      <xdr:colOff>352425</xdr:colOff>
      <xdr:row>2</xdr:row>
      <xdr:rowOff>6350</xdr:rowOff>
    </xdr:to>
    <xdr:cxnSp macro="">
      <xdr:nvCxnSpPr>
        <xdr:cNvPr id="8" name="navLinha">
          <a:extLst>
            <a:ext uri="{FF2B5EF4-FFF2-40B4-BE49-F238E27FC236}">
              <a16:creationId xmlns:a16="http://schemas.microsoft.com/office/drawing/2014/main" id="{233AA38D-02EE-54A3-C57A-82FBEAC60627}"/>
            </a:ext>
          </a:extLst>
        </xdr:cNvPr>
        <xdr:cNvCxnSpPr/>
      </xdr:nvCxnSpPr>
      <xdr:spPr>
        <a:xfrm>
          <a:off x="0" y="939800"/>
          <a:ext cx="16192500" cy="0"/>
        </a:xfrm>
        <a:prstGeom prst="line">
          <a:avLst/>
        </a:prstGeom>
        <a:ln>
          <a:solidFill>
            <a:srgbClr val="E2E8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152400</xdr:colOff>
      <xdr:row>1</xdr:row>
      <xdr:rowOff>57150</xdr:rowOff>
    </xdr:from>
    <xdr:to>
      <xdr:col>0</xdr:col>
      <xdr:colOff>919480</xdr:colOff>
      <xdr:row>1</xdr:row>
      <xdr:rowOff>361950</xdr:rowOff>
    </xdr:to>
    <xdr:sp macro="[0]!Navegar" textlink="">
      <xdr:nvSpPr>
        <xdr:cNvPr id="9" name="nav_0">
          <a:extLst>
            <a:ext uri="{FF2B5EF4-FFF2-40B4-BE49-F238E27FC236}">
              <a16:creationId xmlns:a16="http://schemas.microsoft.com/office/drawing/2014/main" id="{5C22470D-408B-16EF-9F9A-CB7F434952AE}"/>
            </a:ext>
          </a:extLst>
        </xdr:cNvPr>
        <xdr:cNvSpPr txBox="1"/>
      </xdr:nvSpPr>
      <xdr:spPr>
        <a:xfrm>
          <a:off x="15240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Painel</a:t>
          </a:r>
        </a:p>
      </xdr:txBody>
    </xdr:sp>
    <xdr:clientData/>
  </xdr:twoCellAnchor>
  <xdr:twoCellAnchor editAs="absolute">
    <xdr:from>
      <xdr:col>0</xdr:col>
      <xdr:colOff>970280</xdr:colOff>
      <xdr:row>1</xdr:row>
      <xdr:rowOff>57150</xdr:rowOff>
    </xdr:from>
    <xdr:to>
      <xdr:col>0</xdr:col>
      <xdr:colOff>1818640</xdr:colOff>
      <xdr:row>1</xdr:row>
      <xdr:rowOff>361950</xdr:rowOff>
    </xdr:to>
    <xdr:sp macro="[0]!Navegar" textlink="">
      <xdr:nvSpPr>
        <xdr:cNvPr id="10" name="nav_1">
          <a:extLst>
            <a:ext uri="{FF2B5EF4-FFF2-40B4-BE49-F238E27FC236}">
              <a16:creationId xmlns:a16="http://schemas.microsoft.com/office/drawing/2014/main" id="{CFCDD61C-7AD4-FC02-FCF8-DE0A81586DC9}"/>
            </a:ext>
          </a:extLst>
        </xdr:cNvPr>
        <xdr:cNvSpPr txBox="1"/>
      </xdr:nvSpPr>
      <xdr:spPr>
        <a:xfrm>
          <a:off x="970280" y="609600"/>
          <a:ext cx="84836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1">
              <a:solidFill>
                <a:srgbClr val="0B1F3A"/>
              </a:solidFill>
              <a:latin typeface="Segoe UI" panose="020B0502040204020203" pitchFamily="34" charset="0"/>
            </a:rPr>
            <a:t>Análise</a:t>
          </a:r>
        </a:p>
      </xdr:txBody>
    </xdr:sp>
    <xdr:clientData/>
  </xdr:twoCellAnchor>
  <xdr:twoCellAnchor editAs="absolute">
    <xdr:from>
      <xdr:col>0</xdr:col>
      <xdr:colOff>1046480</xdr:colOff>
      <xdr:row>1</xdr:row>
      <xdr:rowOff>349250</xdr:rowOff>
    </xdr:from>
    <xdr:to>
      <xdr:col>0</xdr:col>
      <xdr:colOff>1742440</xdr:colOff>
      <xdr:row>2</xdr:row>
      <xdr:rowOff>6350</xdr:rowOff>
    </xdr:to>
    <xdr:sp macro="" textlink="">
      <xdr:nvSpPr>
        <xdr:cNvPr id="11" name="navAtivo">
          <a:extLst>
            <a:ext uri="{FF2B5EF4-FFF2-40B4-BE49-F238E27FC236}">
              <a16:creationId xmlns:a16="http://schemas.microsoft.com/office/drawing/2014/main" id="{A7F8FFBE-217A-BAA7-8BF6-2C9CC3B412A2}"/>
            </a:ext>
          </a:extLst>
        </xdr:cNvPr>
        <xdr:cNvSpPr/>
      </xdr:nvSpPr>
      <xdr:spPr>
        <a:xfrm>
          <a:off x="1046480" y="901700"/>
          <a:ext cx="695960" cy="38100"/>
        </a:xfrm>
        <a:prstGeom prst="rect">
          <a:avLst/>
        </a:prstGeom>
        <a:solidFill>
          <a:srgbClr val="C9A22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1869440</xdr:colOff>
      <xdr:row>1</xdr:row>
      <xdr:rowOff>57150</xdr:rowOff>
    </xdr:from>
    <xdr:to>
      <xdr:col>1</xdr:col>
      <xdr:colOff>588645</xdr:colOff>
      <xdr:row>1</xdr:row>
      <xdr:rowOff>361950</xdr:rowOff>
    </xdr:to>
    <xdr:sp macro="[0]!Navegar" textlink="">
      <xdr:nvSpPr>
        <xdr:cNvPr id="12" name="nav_2">
          <a:extLst>
            <a:ext uri="{FF2B5EF4-FFF2-40B4-BE49-F238E27FC236}">
              <a16:creationId xmlns:a16="http://schemas.microsoft.com/office/drawing/2014/main" id="{8479E37D-F249-3D3B-B1B8-0AEAF80477DE}"/>
            </a:ext>
          </a:extLst>
        </xdr:cNvPr>
        <xdr:cNvSpPr txBox="1"/>
      </xdr:nvSpPr>
      <xdr:spPr>
        <a:xfrm>
          <a:off x="186944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Lançar</a:t>
          </a:r>
        </a:p>
      </xdr:txBody>
    </xdr:sp>
    <xdr:clientData/>
  </xdr:twoCellAnchor>
  <xdr:twoCellAnchor editAs="absolute">
    <xdr:from>
      <xdr:col>1</xdr:col>
      <xdr:colOff>639445</xdr:colOff>
      <xdr:row>1</xdr:row>
      <xdr:rowOff>57150</xdr:rowOff>
    </xdr:from>
    <xdr:to>
      <xdr:col>1</xdr:col>
      <xdr:colOff>1406525</xdr:colOff>
      <xdr:row>1</xdr:row>
      <xdr:rowOff>361950</xdr:rowOff>
    </xdr:to>
    <xdr:sp macro="[0]!Navegar" textlink="">
      <xdr:nvSpPr>
        <xdr:cNvPr id="13" name="nav_3">
          <a:extLst>
            <a:ext uri="{FF2B5EF4-FFF2-40B4-BE49-F238E27FC236}">
              <a16:creationId xmlns:a16="http://schemas.microsoft.com/office/drawing/2014/main" id="{1676E3FE-EF15-A95D-E575-907326117958}"/>
            </a:ext>
          </a:extLst>
        </xdr:cNvPr>
        <xdr:cNvSpPr txBox="1"/>
      </xdr:nvSpPr>
      <xdr:spPr>
        <a:xfrm>
          <a:off x="268732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Contas</a:t>
          </a:r>
        </a:p>
      </xdr:txBody>
    </xdr:sp>
    <xdr:clientData/>
  </xdr:twoCellAnchor>
  <xdr:twoCellAnchor editAs="absolute">
    <xdr:from>
      <xdr:col>1</xdr:col>
      <xdr:colOff>1457325</xdr:colOff>
      <xdr:row>1</xdr:row>
      <xdr:rowOff>57150</xdr:rowOff>
    </xdr:from>
    <xdr:to>
      <xdr:col>2</xdr:col>
      <xdr:colOff>657225</xdr:colOff>
      <xdr:row>1</xdr:row>
      <xdr:rowOff>361950</xdr:rowOff>
    </xdr:to>
    <xdr:sp macro="[0]!Navegar" textlink="">
      <xdr:nvSpPr>
        <xdr:cNvPr id="14" name="nav_4">
          <a:extLst>
            <a:ext uri="{FF2B5EF4-FFF2-40B4-BE49-F238E27FC236}">
              <a16:creationId xmlns:a16="http://schemas.microsoft.com/office/drawing/2014/main" id="{77635B35-C7B9-A0BB-FBF1-781AC91F9C04}"/>
            </a:ext>
          </a:extLst>
        </xdr:cNvPr>
        <xdr:cNvSpPr txBox="1"/>
      </xdr:nvSpPr>
      <xdr:spPr>
        <a:xfrm>
          <a:off x="3505200" y="609600"/>
          <a:ext cx="6858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Metas</a:t>
          </a:r>
        </a:p>
      </xdr:txBody>
    </xdr:sp>
    <xdr:clientData/>
  </xdr:twoCellAnchor>
  <xdr:twoCellAnchor editAs="absolute">
    <xdr:from>
      <xdr:col>2</xdr:col>
      <xdr:colOff>733425</xdr:colOff>
      <xdr:row>1</xdr:row>
      <xdr:rowOff>107950</xdr:rowOff>
    </xdr:from>
    <xdr:to>
      <xdr:col>2</xdr:col>
      <xdr:colOff>733425</xdr:colOff>
      <xdr:row>1</xdr:row>
      <xdr:rowOff>311150</xdr:rowOff>
    </xdr:to>
    <xdr:cxnSp macro="">
      <xdr:nvCxnSpPr>
        <xdr:cNvPr id="15" name="navSep">
          <a:extLst>
            <a:ext uri="{FF2B5EF4-FFF2-40B4-BE49-F238E27FC236}">
              <a16:creationId xmlns:a16="http://schemas.microsoft.com/office/drawing/2014/main" id="{35A6214E-12F7-7D19-039B-C2F776DBF474}"/>
            </a:ext>
          </a:extLst>
        </xdr:cNvPr>
        <xdr:cNvCxnSpPr/>
      </xdr:nvCxnSpPr>
      <xdr:spPr>
        <a:xfrm>
          <a:off x="4267200" y="660400"/>
          <a:ext cx="0" cy="203200"/>
        </a:xfrm>
        <a:prstGeom prst="line">
          <a:avLst/>
        </a:prstGeom>
        <a:ln>
          <a:solidFill>
            <a:srgbClr val="E2E8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57150</xdr:colOff>
      <xdr:row>1</xdr:row>
      <xdr:rowOff>57150</xdr:rowOff>
    </xdr:from>
    <xdr:to>
      <xdr:col>4</xdr:col>
      <xdr:colOff>478155</xdr:colOff>
      <xdr:row>1</xdr:row>
      <xdr:rowOff>361950</xdr:rowOff>
    </xdr:to>
    <xdr:sp macro="[0]!Navegar" textlink="">
      <xdr:nvSpPr>
        <xdr:cNvPr id="16" name="nav_5">
          <a:extLst>
            <a:ext uri="{FF2B5EF4-FFF2-40B4-BE49-F238E27FC236}">
              <a16:creationId xmlns:a16="http://schemas.microsoft.com/office/drawing/2014/main" id="{C0A5FC48-332F-2FEB-D06B-E11DBBBA33C6}"/>
            </a:ext>
          </a:extLst>
        </xdr:cNvPr>
        <xdr:cNvSpPr txBox="1"/>
      </xdr:nvSpPr>
      <xdr:spPr>
        <a:xfrm>
          <a:off x="4343400" y="609600"/>
          <a:ext cx="11734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4</xdr:col>
      <xdr:colOff>528955</xdr:colOff>
      <xdr:row>1</xdr:row>
      <xdr:rowOff>57150</xdr:rowOff>
    </xdr:from>
    <xdr:to>
      <xdr:col>6</xdr:col>
      <xdr:colOff>34925</xdr:colOff>
      <xdr:row>1</xdr:row>
      <xdr:rowOff>361950</xdr:rowOff>
    </xdr:to>
    <xdr:sp macro="[0]!Navegar" textlink="">
      <xdr:nvSpPr>
        <xdr:cNvPr id="17" name="nav_6">
          <a:extLst>
            <a:ext uri="{FF2B5EF4-FFF2-40B4-BE49-F238E27FC236}">
              <a16:creationId xmlns:a16="http://schemas.microsoft.com/office/drawing/2014/main" id="{6DF2FD92-2FF6-9560-3467-3B3DDAADDAE9}"/>
            </a:ext>
          </a:extLst>
        </xdr:cNvPr>
        <xdr:cNvSpPr txBox="1"/>
      </xdr:nvSpPr>
      <xdr:spPr>
        <a:xfrm>
          <a:off x="5567680" y="609600"/>
          <a:ext cx="101092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Orçamento</a:t>
          </a:r>
        </a:p>
      </xdr:txBody>
    </xdr:sp>
    <xdr:clientData/>
  </xdr:twoCellAnchor>
  <xdr:twoCellAnchor editAs="absolute">
    <xdr:from>
      <xdr:col>6</xdr:col>
      <xdr:colOff>85725</xdr:colOff>
      <xdr:row>1</xdr:row>
      <xdr:rowOff>57150</xdr:rowOff>
    </xdr:from>
    <xdr:to>
      <xdr:col>7</xdr:col>
      <xdr:colOff>100330</xdr:colOff>
      <xdr:row>1</xdr:row>
      <xdr:rowOff>361950</xdr:rowOff>
    </xdr:to>
    <xdr:sp macro="[0]!Navegar" textlink="">
      <xdr:nvSpPr>
        <xdr:cNvPr id="18" name="nav_7">
          <a:extLst>
            <a:ext uri="{FF2B5EF4-FFF2-40B4-BE49-F238E27FC236}">
              <a16:creationId xmlns:a16="http://schemas.microsoft.com/office/drawing/2014/main" id="{6060B6BE-532A-FC10-BA7A-ABE9E5A041F8}"/>
            </a:ext>
          </a:extLst>
        </xdr:cNvPr>
        <xdr:cNvSpPr txBox="1"/>
      </xdr:nvSpPr>
      <xdr:spPr>
        <a:xfrm>
          <a:off x="662940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Rendas</a:t>
          </a:r>
        </a:p>
      </xdr:txBody>
    </xdr:sp>
    <xdr:clientData/>
  </xdr:twoCellAnchor>
  <xdr:twoCellAnchor editAs="absolute">
    <xdr:from>
      <xdr:col>7</xdr:col>
      <xdr:colOff>151130</xdr:colOff>
      <xdr:row>1</xdr:row>
      <xdr:rowOff>57150</xdr:rowOff>
    </xdr:from>
    <xdr:to>
      <xdr:col>8</xdr:col>
      <xdr:colOff>490855</xdr:colOff>
      <xdr:row>1</xdr:row>
      <xdr:rowOff>361950</xdr:rowOff>
    </xdr:to>
    <xdr:sp macro="[0]!Navegar" textlink="">
      <xdr:nvSpPr>
        <xdr:cNvPr id="19" name="nav_8">
          <a:extLst>
            <a:ext uri="{FF2B5EF4-FFF2-40B4-BE49-F238E27FC236}">
              <a16:creationId xmlns:a16="http://schemas.microsoft.com/office/drawing/2014/main" id="{1C952CF4-915D-9165-A800-F66EE42A7396}"/>
            </a:ext>
          </a:extLst>
        </xdr:cNvPr>
        <xdr:cNvSpPr txBox="1"/>
      </xdr:nvSpPr>
      <xdr:spPr>
        <a:xfrm>
          <a:off x="7447280" y="609600"/>
          <a:ext cx="10922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Categorias</a:t>
          </a:r>
        </a:p>
      </xdr:txBody>
    </xdr:sp>
    <xdr:clientData/>
  </xdr:twoCellAnchor>
  <xdr:twoCellAnchor editAs="absolute">
    <xdr:from>
      <xdr:col>8</xdr:col>
      <xdr:colOff>694055</xdr:colOff>
      <xdr:row>1</xdr:row>
      <xdr:rowOff>69850</xdr:rowOff>
    </xdr:from>
    <xdr:to>
      <xdr:col>10</xdr:col>
      <xdr:colOff>205105</xdr:colOff>
      <xdr:row>1</xdr:row>
      <xdr:rowOff>323850</xdr:rowOff>
    </xdr:to>
    <xdr:sp macro="[0]!AtualizarPainel" textlink="">
      <xdr:nvSpPr>
        <xdr:cNvPr id="20" name="btAtualizarPainel19">
          <a:extLst>
            <a:ext uri="{FF2B5EF4-FFF2-40B4-BE49-F238E27FC236}">
              <a16:creationId xmlns:a16="http://schemas.microsoft.com/office/drawing/2014/main" id="{B94CD287-F6C9-C6E5-7F07-8DCB2563C745}"/>
            </a:ext>
          </a:extLst>
        </xdr:cNvPr>
        <xdr:cNvSpPr/>
      </xdr:nvSpPr>
      <xdr:spPr>
        <a:xfrm>
          <a:off x="8742680" y="622300"/>
          <a:ext cx="1016000" cy="254000"/>
        </a:xfrm>
        <a:prstGeom prst="roundRect">
          <a:avLst>
            <a:gd name="adj" fmla="val 20000"/>
          </a:avLst>
        </a:prstGeom>
        <a:solidFill>
          <a:srgbClr val="FFFFFF"/>
        </a:solidFill>
        <a:ln w="9525">
          <a:solidFill>
            <a:srgbClr val="E2E8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850" b="1">
              <a:solidFill>
                <a:srgbClr val="2A6FB8"/>
              </a:solidFill>
              <a:latin typeface="Segoe UI" panose="020B0502040204020203" pitchFamily="34" charset="0"/>
            </a:rPr>
            <a:t>Atualizar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22</xdr:col>
      <xdr:colOff>190500</xdr:colOff>
      <xdr:row>1</xdr:row>
      <xdr:rowOff>6350</xdr:rowOff>
    </xdr:to>
    <xdr:sp macro="" textlink="">
      <xdr:nvSpPr>
        <xdr:cNvPr id="2" name="cabFundo">
          <a:extLst>
            <a:ext uri="{FF2B5EF4-FFF2-40B4-BE49-F238E27FC236}">
              <a16:creationId xmlns:a16="http://schemas.microsoft.com/office/drawing/2014/main" id="{3529D59A-34C3-2CB2-9626-04B619D0C120}"/>
            </a:ext>
          </a:extLst>
        </xdr:cNvPr>
        <xdr:cNvSpPr/>
      </xdr:nvSpPr>
      <xdr:spPr>
        <a:xfrm>
          <a:off x="0" y="0"/>
          <a:ext cx="16192500" cy="558800"/>
        </a:xfrm>
        <a:prstGeom prst="rect">
          <a:avLst/>
        </a:prstGeom>
        <a:solidFill>
          <a:srgbClr val="0B1F3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</xdr:col>
      <xdr:colOff>47625</xdr:colOff>
      <xdr:row>0</xdr:row>
      <xdr:rowOff>76200</xdr:rowOff>
    </xdr:from>
    <xdr:to>
      <xdr:col>4</xdr:col>
      <xdr:colOff>114300</xdr:colOff>
      <xdr:row>0</xdr:row>
      <xdr:rowOff>330200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554DE3CA-202F-5799-0F7A-F2350DEC0A95}"/>
            </a:ext>
          </a:extLst>
        </xdr:cNvPr>
        <xdr:cNvSpPr txBox="1"/>
      </xdr:nvSpPr>
      <xdr:spPr>
        <a:xfrm>
          <a:off x="228600" y="76200"/>
          <a:ext cx="3810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r>
            <a:rPr lang="pt-BR" sz="1400" b="1">
              <a:solidFill>
                <a:srgbClr val="FFFFFF"/>
              </a:solidFill>
              <a:latin typeface="Segoe UI" panose="020B0502040204020203" pitchFamily="34" charset="0"/>
            </a:rPr>
            <a:t>Casa Organizada</a:t>
          </a:r>
        </a:p>
      </xdr:txBody>
    </xdr:sp>
    <xdr:clientData/>
  </xdr:twoCellAnchor>
  <xdr:twoCellAnchor editAs="absolute">
    <xdr:from>
      <xdr:col>1</xdr:col>
      <xdr:colOff>47625</xdr:colOff>
      <xdr:row>0</xdr:row>
      <xdr:rowOff>330200</xdr:rowOff>
    </xdr:from>
    <xdr:to>
      <xdr:col>4</xdr:col>
      <xdr:colOff>114300</xdr:colOff>
      <xdr:row>0</xdr:row>
      <xdr:rowOff>482600</xdr:rowOff>
    </xdr:to>
    <xdr:sp macro="" textlink="Calc!$C$58">
      <xdr:nvSpPr>
        <xdr:cNvPr id="4" name="cabPeriodo">
          <a:extLst>
            <a:ext uri="{FF2B5EF4-FFF2-40B4-BE49-F238E27FC236}">
              <a16:creationId xmlns:a16="http://schemas.microsoft.com/office/drawing/2014/main" id="{2ACA8C4B-58B3-EE9F-CBD7-AC417FC08F7D}"/>
            </a:ext>
          </a:extLst>
        </xdr:cNvPr>
        <xdr:cNvSpPr txBox="1"/>
      </xdr:nvSpPr>
      <xdr:spPr>
        <a:xfrm>
          <a:off x="228600" y="330200"/>
          <a:ext cx="38100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35C78CDE-23BB-4980-8A95-30DA5C74541E}" type="TxLink">
            <a:rPr lang="en-US" sz="850" b="0" i="0" u="none" strike="noStrike">
              <a:solidFill>
                <a:srgbClr val="A5B4C8"/>
              </a:solidFill>
              <a:latin typeface="Segoe UI" panose="020B0502040204020203" pitchFamily="34" charset="0"/>
              <a:ea typeface="Calibri"/>
              <a:cs typeface="Calibri"/>
            </a:rPr>
            <a:pPr/>
            <a:t>JAN de 2025</a:t>
          </a:fld>
          <a:endParaRPr lang="pt-BR" sz="850" b="0">
            <a:solidFill>
              <a:srgbClr val="A5B4C8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2012950</xdr:colOff>
      <xdr:row>0</xdr:row>
      <xdr:rowOff>203200</xdr:rowOff>
    </xdr:from>
    <xdr:to>
      <xdr:col>6</xdr:col>
      <xdr:colOff>1323975</xdr:colOff>
      <xdr:row>0</xdr:row>
      <xdr:rowOff>381000</xdr:rowOff>
    </xdr:to>
    <xdr:sp macro="" textlink="Calc!$C$56">
      <xdr:nvSpPr>
        <xdr:cNvPr id="5" name="chipStatus">
          <a:extLst>
            <a:ext uri="{FF2B5EF4-FFF2-40B4-BE49-F238E27FC236}">
              <a16:creationId xmlns:a16="http://schemas.microsoft.com/office/drawing/2014/main" id="{19AC8103-A003-8F79-2283-670F1049EF49}"/>
            </a:ext>
          </a:extLst>
        </xdr:cNvPr>
        <xdr:cNvSpPr txBox="1"/>
      </xdr:nvSpPr>
      <xdr:spPr>
        <a:xfrm>
          <a:off x="3175000" y="203200"/>
          <a:ext cx="330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BACC47B5-0750-40B5-BC19-F02BD7A6F07F}" type="TxLink">
            <a:rPr lang="en-US" sz="900" b="1" i="0" u="none" strike="noStrike">
              <a:solidFill>
                <a:srgbClr val="86EFAC"/>
              </a:solidFill>
              <a:latin typeface="Segoe UI" panose="020B0502040204020203" pitchFamily="34" charset="0"/>
              <a:ea typeface="Calibri"/>
              <a:cs typeface="Calibri"/>
            </a:rPr>
            <a:pPr/>
            <a:t>✓ Dados consistentes</a:t>
          </a:fld>
          <a:endParaRPr lang="pt-BR" sz="900" b="1">
            <a:solidFill>
              <a:srgbClr val="86EFAC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10</xdr:col>
      <xdr:colOff>1187450</xdr:colOff>
      <xdr:row>0</xdr:row>
      <xdr:rowOff>114300</xdr:rowOff>
    </xdr:from>
    <xdr:to>
      <xdr:col>13</xdr:col>
      <xdr:colOff>558800</xdr:colOff>
      <xdr:row>0</xdr:row>
      <xdr:rowOff>444500</xdr:rowOff>
    </xdr:to>
    <xdr:sp macro="[0]!IrCadastro" textlink="">
      <xdr:nvSpPr>
        <xdr:cNvPr id="6" name="btIrCadastro5">
          <a:extLst>
            <a:ext uri="{FF2B5EF4-FFF2-40B4-BE49-F238E27FC236}">
              <a16:creationId xmlns:a16="http://schemas.microsoft.com/office/drawing/2014/main" id="{440A02FF-960D-5C88-914F-9187AB637130}"/>
            </a:ext>
          </a:extLst>
        </xdr:cNvPr>
        <xdr:cNvSpPr/>
      </xdr:nvSpPr>
      <xdr:spPr>
        <a:xfrm>
          <a:off x="9398000" y="114300"/>
          <a:ext cx="1676400" cy="330200"/>
        </a:xfrm>
        <a:prstGeom prst="roundRect">
          <a:avLst>
            <a:gd name="adj" fmla="val 20000"/>
          </a:avLst>
        </a:prstGeom>
        <a:solidFill>
          <a:srgbClr val="C9A22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950" b="1">
              <a:solidFill>
                <a:srgbClr val="0B1F3A"/>
              </a:solidFill>
              <a:latin typeface="Segoe UI" panose="020B0502040204020203" pitchFamily="34" charset="0"/>
            </a:rPr>
            <a:t>+ Lançar gasto</a:t>
          </a:r>
        </a:p>
      </xdr:txBody>
    </xdr:sp>
    <xdr:clientData/>
  </xdr:twoCellAnchor>
  <xdr:twoCellAnchor editAs="absolute">
    <xdr:from>
      <xdr:col>0</xdr:col>
      <xdr:colOff>0</xdr:colOff>
      <xdr:row>1</xdr:row>
      <xdr:rowOff>6350</xdr:rowOff>
    </xdr:from>
    <xdr:to>
      <xdr:col>22</xdr:col>
      <xdr:colOff>190500</xdr:colOff>
      <xdr:row>2</xdr:row>
      <xdr:rowOff>6350</xdr:rowOff>
    </xdr:to>
    <xdr:sp macro="" textlink="">
      <xdr:nvSpPr>
        <xdr:cNvPr id="7" name="navFundo">
          <a:extLst>
            <a:ext uri="{FF2B5EF4-FFF2-40B4-BE49-F238E27FC236}">
              <a16:creationId xmlns:a16="http://schemas.microsoft.com/office/drawing/2014/main" id="{61530FAB-9FD1-4513-388D-0A0D7B0D344C}"/>
            </a:ext>
          </a:extLst>
        </xdr:cNvPr>
        <xdr:cNvSpPr/>
      </xdr:nvSpPr>
      <xdr:spPr>
        <a:xfrm>
          <a:off x="0" y="558800"/>
          <a:ext cx="16192500" cy="3810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0</xdr:colOff>
      <xdr:row>2</xdr:row>
      <xdr:rowOff>6350</xdr:rowOff>
    </xdr:from>
    <xdr:to>
      <xdr:col>22</xdr:col>
      <xdr:colOff>190500</xdr:colOff>
      <xdr:row>2</xdr:row>
      <xdr:rowOff>6350</xdr:rowOff>
    </xdr:to>
    <xdr:cxnSp macro="">
      <xdr:nvCxnSpPr>
        <xdr:cNvPr id="8" name="navLinha">
          <a:extLst>
            <a:ext uri="{FF2B5EF4-FFF2-40B4-BE49-F238E27FC236}">
              <a16:creationId xmlns:a16="http://schemas.microsoft.com/office/drawing/2014/main" id="{2ABE18F2-AB21-6EC6-468C-AE728D48B3E2}"/>
            </a:ext>
          </a:extLst>
        </xdr:cNvPr>
        <xdr:cNvCxnSpPr/>
      </xdr:nvCxnSpPr>
      <xdr:spPr>
        <a:xfrm>
          <a:off x="0" y="939800"/>
          <a:ext cx="16192500" cy="0"/>
        </a:xfrm>
        <a:prstGeom prst="line">
          <a:avLst/>
        </a:prstGeom>
        <a:ln>
          <a:solidFill>
            <a:srgbClr val="E2E8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152400</xdr:colOff>
      <xdr:row>1</xdr:row>
      <xdr:rowOff>57150</xdr:rowOff>
    </xdr:from>
    <xdr:to>
      <xdr:col>1</xdr:col>
      <xdr:colOff>738505</xdr:colOff>
      <xdr:row>1</xdr:row>
      <xdr:rowOff>361950</xdr:rowOff>
    </xdr:to>
    <xdr:sp macro="[0]!Navegar" textlink="">
      <xdr:nvSpPr>
        <xdr:cNvPr id="9" name="nav_0">
          <a:extLst>
            <a:ext uri="{FF2B5EF4-FFF2-40B4-BE49-F238E27FC236}">
              <a16:creationId xmlns:a16="http://schemas.microsoft.com/office/drawing/2014/main" id="{E2620AD1-BEE8-50DA-4F49-FC604E8C0FD9}"/>
            </a:ext>
          </a:extLst>
        </xdr:cNvPr>
        <xdr:cNvSpPr txBox="1"/>
      </xdr:nvSpPr>
      <xdr:spPr>
        <a:xfrm>
          <a:off x="15240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Painel</a:t>
          </a:r>
        </a:p>
      </xdr:txBody>
    </xdr:sp>
    <xdr:clientData/>
  </xdr:twoCellAnchor>
  <xdr:twoCellAnchor editAs="absolute">
    <xdr:from>
      <xdr:col>1</xdr:col>
      <xdr:colOff>789305</xdr:colOff>
      <xdr:row>1</xdr:row>
      <xdr:rowOff>57150</xdr:rowOff>
    </xdr:from>
    <xdr:to>
      <xdr:col>2</xdr:col>
      <xdr:colOff>656590</xdr:colOff>
      <xdr:row>1</xdr:row>
      <xdr:rowOff>361950</xdr:rowOff>
    </xdr:to>
    <xdr:sp macro="[0]!Navegar" textlink="">
      <xdr:nvSpPr>
        <xdr:cNvPr id="10" name="nav_1">
          <a:extLst>
            <a:ext uri="{FF2B5EF4-FFF2-40B4-BE49-F238E27FC236}">
              <a16:creationId xmlns:a16="http://schemas.microsoft.com/office/drawing/2014/main" id="{248082D8-09E6-7582-DAE4-B4BC390457E1}"/>
            </a:ext>
          </a:extLst>
        </xdr:cNvPr>
        <xdr:cNvSpPr txBox="1"/>
      </xdr:nvSpPr>
      <xdr:spPr>
        <a:xfrm>
          <a:off x="970280" y="609600"/>
          <a:ext cx="84836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Análise</a:t>
          </a:r>
        </a:p>
      </xdr:txBody>
    </xdr:sp>
    <xdr:clientData/>
  </xdr:twoCellAnchor>
  <xdr:twoCellAnchor editAs="absolute">
    <xdr:from>
      <xdr:col>2</xdr:col>
      <xdr:colOff>707390</xdr:colOff>
      <xdr:row>1</xdr:row>
      <xdr:rowOff>57150</xdr:rowOff>
    </xdr:from>
    <xdr:to>
      <xdr:col>2</xdr:col>
      <xdr:colOff>1474470</xdr:colOff>
      <xdr:row>1</xdr:row>
      <xdr:rowOff>361950</xdr:rowOff>
    </xdr:to>
    <xdr:sp macro="[0]!Navegar" textlink="">
      <xdr:nvSpPr>
        <xdr:cNvPr id="11" name="nav_2">
          <a:extLst>
            <a:ext uri="{FF2B5EF4-FFF2-40B4-BE49-F238E27FC236}">
              <a16:creationId xmlns:a16="http://schemas.microsoft.com/office/drawing/2014/main" id="{95E92AFF-A4A6-DC56-F664-50F42B5B784F}"/>
            </a:ext>
          </a:extLst>
        </xdr:cNvPr>
        <xdr:cNvSpPr txBox="1"/>
      </xdr:nvSpPr>
      <xdr:spPr>
        <a:xfrm>
          <a:off x="186944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1">
              <a:solidFill>
                <a:srgbClr val="0B1F3A"/>
              </a:solidFill>
              <a:latin typeface="Segoe UI" panose="020B0502040204020203" pitchFamily="34" charset="0"/>
            </a:rPr>
            <a:t>Lançar</a:t>
          </a:r>
        </a:p>
      </xdr:txBody>
    </xdr:sp>
    <xdr:clientData/>
  </xdr:twoCellAnchor>
  <xdr:twoCellAnchor editAs="absolute">
    <xdr:from>
      <xdr:col>2</xdr:col>
      <xdr:colOff>783590</xdr:colOff>
      <xdr:row>1</xdr:row>
      <xdr:rowOff>349250</xdr:rowOff>
    </xdr:from>
    <xdr:to>
      <xdr:col>2</xdr:col>
      <xdr:colOff>1398270</xdr:colOff>
      <xdr:row>2</xdr:row>
      <xdr:rowOff>6350</xdr:rowOff>
    </xdr:to>
    <xdr:sp macro="" textlink="">
      <xdr:nvSpPr>
        <xdr:cNvPr id="12" name="navAtivo">
          <a:extLst>
            <a:ext uri="{FF2B5EF4-FFF2-40B4-BE49-F238E27FC236}">
              <a16:creationId xmlns:a16="http://schemas.microsoft.com/office/drawing/2014/main" id="{7794A43B-DF55-C32F-16B2-E292BB94D333}"/>
            </a:ext>
          </a:extLst>
        </xdr:cNvPr>
        <xdr:cNvSpPr/>
      </xdr:nvSpPr>
      <xdr:spPr>
        <a:xfrm>
          <a:off x="1945640" y="901700"/>
          <a:ext cx="614680" cy="38100"/>
        </a:xfrm>
        <a:prstGeom prst="rect">
          <a:avLst/>
        </a:prstGeom>
        <a:solidFill>
          <a:srgbClr val="C9A22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</xdr:col>
      <xdr:colOff>1525270</xdr:colOff>
      <xdr:row>1</xdr:row>
      <xdr:rowOff>57150</xdr:rowOff>
    </xdr:from>
    <xdr:to>
      <xdr:col>2</xdr:col>
      <xdr:colOff>2292350</xdr:colOff>
      <xdr:row>1</xdr:row>
      <xdr:rowOff>361950</xdr:rowOff>
    </xdr:to>
    <xdr:sp macro="[0]!Navegar" textlink="">
      <xdr:nvSpPr>
        <xdr:cNvPr id="13" name="nav_3">
          <a:extLst>
            <a:ext uri="{FF2B5EF4-FFF2-40B4-BE49-F238E27FC236}">
              <a16:creationId xmlns:a16="http://schemas.microsoft.com/office/drawing/2014/main" id="{CBBFEA82-B54D-A9DF-5646-D0F14CA1347A}"/>
            </a:ext>
          </a:extLst>
        </xdr:cNvPr>
        <xdr:cNvSpPr txBox="1"/>
      </xdr:nvSpPr>
      <xdr:spPr>
        <a:xfrm>
          <a:off x="268732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Contas</a:t>
          </a:r>
        </a:p>
      </xdr:txBody>
    </xdr:sp>
    <xdr:clientData/>
  </xdr:twoCellAnchor>
  <xdr:twoCellAnchor editAs="absolute">
    <xdr:from>
      <xdr:col>2</xdr:col>
      <xdr:colOff>2343150</xdr:colOff>
      <xdr:row>1</xdr:row>
      <xdr:rowOff>57150</xdr:rowOff>
    </xdr:from>
    <xdr:to>
      <xdr:col>5</xdr:col>
      <xdr:colOff>19050</xdr:colOff>
      <xdr:row>1</xdr:row>
      <xdr:rowOff>361950</xdr:rowOff>
    </xdr:to>
    <xdr:sp macro="[0]!Navegar" textlink="">
      <xdr:nvSpPr>
        <xdr:cNvPr id="14" name="nav_4">
          <a:extLst>
            <a:ext uri="{FF2B5EF4-FFF2-40B4-BE49-F238E27FC236}">
              <a16:creationId xmlns:a16="http://schemas.microsoft.com/office/drawing/2014/main" id="{44DBD845-1C0D-2270-4818-EBB9002D5E85}"/>
            </a:ext>
          </a:extLst>
        </xdr:cNvPr>
        <xdr:cNvSpPr txBox="1"/>
      </xdr:nvSpPr>
      <xdr:spPr>
        <a:xfrm>
          <a:off x="3505200" y="609600"/>
          <a:ext cx="6858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Metas</a:t>
          </a:r>
        </a:p>
      </xdr:txBody>
    </xdr:sp>
    <xdr:clientData/>
  </xdr:twoCellAnchor>
  <xdr:twoCellAnchor editAs="absolute">
    <xdr:from>
      <xdr:col>5</xdr:col>
      <xdr:colOff>95250</xdr:colOff>
      <xdr:row>1</xdr:row>
      <xdr:rowOff>107950</xdr:rowOff>
    </xdr:from>
    <xdr:to>
      <xdr:col>5</xdr:col>
      <xdr:colOff>95250</xdr:colOff>
      <xdr:row>1</xdr:row>
      <xdr:rowOff>311150</xdr:rowOff>
    </xdr:to>
    <xdr:cxnSp macro="">
      <xdr:nvCxnSpPr>
        <xdr:cNvPr id="15" name="navSep">
          <a:extLst>
            <a:ext uri="{FF2B5EF4-FFF2-40B4-BE49-F238E27FC236}">
              <a16:creationId xmlns:a16="http://schemas.microsoft.com/office/drawing/2014/main" id="{BFB91EE8-3D03-F116-0F1D-C6BCEC726430}"/>
            </a:ext>
          </a:extLst>
        </xdr:cNvPr>
        <xdr:cNvCxnSpPr/>
      </xdr:nvCxnSpPr>
      <xdr:spPr>
        <a:xfrm>
          <a:off x="4267200" y="660400"/>
          <a:ext cx="0" cy="203200"/>
        </a:xfrm>
        <a:prstGeom prst="line">
          <a:avLst/>
        </a:prstGeom>
        <a:ln>
          <a:solidFill>
            <a:srgbClr val="E2E8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171450</xdr:colOff>
      <xdr:row>1</xdr:row>
      <xdr:rowOff>57150</xdr:rowOff>
    </xdr:from>
    <xdr:to>
      <xdr:col>6</xdr:col>
      <xdr:colOff>363855</xdr:colOff>
      <xdr:row>1</xdr:row>
      <xdr:rowOff>361950</xdr:rowOff>
    </xdr:to>
    <xdr:sp macro="[0]!Navegar" textlink="">
      <xdr:nvSpPr>
        <xdr:cNvPr id="16" name="nav_5">
          <a:extLst>
            <a:ext uri="{FF2B5EF4-FFF2-40B4-BE49-F238E27FC236}">
              <a16:creationId xmlns:a16="http://schemas.microsoft.com/office/drawing/2014/main" id="{742D4A2B-6971-B604-C864-46E0747318B8}"/>
            </a:ext>
          </a:extLst>
        </xdr:cNvPr>
        <xdr:cNvSpPr txBox="1"/>
      </xdr:nvSpPr>
      <xdr:spPr>
        <a:xfrm>
          <a:off x="4343400" y="609600"/>
          <a:ext cx="11734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6</xdr:col>
      <xdr:colOff>414655</xdr:colOff>
      <xdr:row>1</xdr:row>
      <xdr:rowOff>57150</xdr:rowOff>
    </xdr:from>
    <xdr:to>
      <xdr:col>6</xdr:col>
      <xdr:colOff>1425575</xdr:colOff>
      <xdr:row>1</xdr:row>
      <xdr:rowOff>361950</xdr:rowOff>
    </xdr:to>
    <xdr:sp macro="[0]!Navegar" textlink="">
      <xdr:nvSpPr>
        <xdr:cNvPr id="17" name="nav_6">
          <a:extLst>
            <a:ext uri="{FF2B5EF4-FFF2-40B4-BE49-F238E27FC236}">
              <a16:creationId xmlns:a16="http://schemas.microsoft.com/office/drawing/2014/main" id="{E6819BA9-C1C7-C75F-387B-FC75165379B2}"/>
            </a:ext>
          </a:extLst>
        </xdr:cNvPr>
        <xdr:cNvSpPr txBox="1"/>
      </xdr:nvSpPr>
      <xdr:spPr>
        <a:xfrm>
          <a:off x="5567680" y="609600"/>
          <a:ext cx="101092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Orçamento</a:t>
          </a:r>
        </a:p>
      </xdr:txBody>
    </xdr:sp>
    <xdr:clientData/>
  </xdr:twoCellAnchor>
  <xdr:twoCellAnchor editAs="absolute">
    <xdr:from>
      <xdr:col>6</xdr:col>
      <xdr:colOff>1476375</xdr:colOff>
      <xdr:row>1</xdr:row>
      <xdr:rowOff>57150</xdr:rowOff>
    </xdr:from>
    <xdr:to>
      <xdr:col>9</xdr:col>
      <xdr:colOff>33655</xdr:colOff>
      <xdr:row>1</xdr:row>
      <xdr:rowOff>361950</xdr:rowOff>
    </xdr:to>
    <xdr:sp macro="[0]!Navegar" textlink="">
      <xdr:nvSpPr>
        <xdr:cNvPr id="18" name="nav_7">
          <a:extLst>
            <a:ext uri="{FF2B5EF4-FFF2-40B4-BE49-F238E27FC236}">
              <a16:creationId xmlns:a16="http://schemas.microsoft.com/office/drawing/2014/main" id="{703C79A8-ECC2-F126-AAEC-EAE73EE9AD79}"/>
            </a:ext>
          </a:extLst>
        </xdr:cNvPr>
        <xdr:cNvSpPr txBox="1"/>
      </xdr:nvSpPr>
      <xdr:spPr>
        <a:xfrm>
          <a:off x="662940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Rendas</a:t>
          </a:r>
        </a:p>
      </xdr:txBody>
    </xdr:sp>
    <xdr:clientData/>
  </xdr:twoCellAnchor>
  <xdr:twoCellAnchor editAs="absolute">
    <xdr:from>
      <xdr:col>9</xdr:col>
      <xdr:colOff>84455</xdr:colOff>
      <xdr:row>1</xdr:row>
      <xdr:rowOff>57150</xdr:rowOff>
    </xdr:from>
    <xdr:to>
      <xdr:col>10</xdr:col>
      <xdr:colOff>328930</xdr:colOff>
      <xdr:row>1</xdr:row>
      <xdr:rowOff>361950</xdr:rowOff>
    </xdr:to>
    <xdr:sp macro="[0]!Navegar" textlink="">
      <xdr:nvSpPr>
        <xdr:cNvPr id="19" name="nav_8">
          <a:extLst>
            <a:ext uri="{FF2B5EF4-FFF2-40B4-BE49-F238E27FC236}">
              <a16:creationId xmlns:a16="http://schemas.microsoft.com/office/drawing/2014/main" id="{9BA3DA24-16CC-8220-F6D0-FDAD9D26744C}"/>
            </a:ext>
          </a:extLst>
        </xdr:cNvPr>
        <xdr:cNvSpPr txBox="1"/>
      </xdr:nvSpPr>
      <xdr:spPr>
        <a:xfrm>
          <a:off x="7447280" y="609600"/>
          <a:ext cx="10922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Categorias</a:t>
          </a:r>
        </a:p>
      </xdr:txBody>
    </xdr:sp>
    <xdr:clientData/>
  </xdr:twoCellAnchor>
  <xdr:twoCellAnchor editAs="absolute">
    <xdr:from>
      <xdr:col>10</xdr:col>
      <xdr:colOff>532130</xdr:colOff>
      <xdr:row>1</xdr:row>
      <xdr:rowOff>69850</xdr:rowOff>
    </xdr:from>
    <xdr:to>
      <xdr:col>11</xdr:col>
      <xdr:colOff>33655</xdr:colOff>
      <xdr:row>1</xdr:row>
      <xdr:rowOff>323850</xdr:rowOff>
    </xdr:to>
    <xdr:sp macro="[0]!AtualizarPainel" textlink="">
      <xdr:nvSpPr>
        <xdr:cNvPr id="20" name="btAtualizarPainel19">
          <a:extLst>
            <a:ext uri="{FF2B5EF4-FFF2-40B4-BE49-F238E27FC236}">
              <a16:creationId xmlns:a16="http://schemas.microsoft.com/office/drawing/2014/main" id="{238DF817-A9CA-6B02-572D-7ED1DB3682C9}"/>
            </a:ext>
          </a:extLst>
        </xdr:cNvPr>
        <xdr:cNvSpPr/>
      </xdr:nvSpPr>
      <xdr:spPr>
        <a:xfrm>
          <a:off x="8742680" y="622300"/>
          <a:ext cx="1016000" cy="254000"/>
        </a:xfrm>
        <a:prstGeom prst="roundRect">
          <a:avLst>
            <a:gd name="adj" fmla="val 20000"/>
          </a:avLst>
        </a:prstGeom>
        <a:solidFill>
          <a:srgbClr val="FFFFFF"/>
        </a:solidFill>
        <a:ln w="9525">
          <a:solidFill>
            <a:srgbClr val="E2E8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850" b="1">
              <a:solidFill>
                <a:srgbClr val="2A6FB8"/>
              </a:solidFill>
              <a:latin typeface="Segoe UI" panose="020B0502040204020203" pitchFamily="34" charset="0"/>
            </a:rPr>
            <a:t>Atualizar</a:t>
          </a:r>
        </a:p>
      </xdr:txBody>
    </xdr:sp>
    <xdr:clientData/>
  </xdr:twoCellAnchor>
  <xdr:twoCellAnchor editAs="absolute">
    <xdr:from>
      <xdr:col>1</xdr:col>
      <xdr:colOff>127000</xdr:colOff>
      <xdr:row>12</xdr:row>
      <xdr:rowOff>82550</xdr:rowOff>
    </xdr:from>
    <xdr:to>
      <xdr:col>2</xdr:col>
      <xdr:colOff>542925</xdr:colOff>
      <xdr:row>14</xdr:row>
      <xdr:rowOff>12700</xdr:rowOff>
    </xdr:to>
    <xdr:sp macro="[0]!LancarGasto" textlink="">
      <xdr:nvSpPr>
        <xdr:cNvPr id="21" name="btLancarGasto20">
          <a:extLst>
            <a:ext uri="{FF2B5EF4-FFF2-40B4-BE49-F238E27FC236}">
              <a16:creationId xmlns:a16="http://schemas.microsoft.com/office/drawing/2014/main" id="{189E1C2C-3046-7F6B-1FE1-C538F961CA3B}"/>
            </a:ext>
          </a:extLst>
        </xdr:cNvPr>
        <xdr:cNvSpPr/>
      </xdr:nvSpPr>
      <xdr:spPr>
        <a:xfrm>
          <a:off x="307975" y="3702050"/>
          <a:ext cx="1397000" cy="330200"/>
        </a:xfrm>
        <a:prstGeom prst="roundRect">
          <a:avLst>
            <a:gd name="adj" fmla="val 20000"/>
          </a:avLst>
        </a:prstGeom>
        <a:solidFill>
          <a:srgbClr val="2A6FB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950" b="1">
              <a:solidFill>
                <a:srgbClr val="FFFFFF"/>
              </a:solidFill>
              <a:latin typeface="Segoe UI" panose="020B0502040204020203" pitchFamily="34" charset="0"/>
            </a:rPr>
            <a:t>Lançar gasto</a:t>
          </a:r>
        </a:p>
      </xdr:txBody>
    </xdr:sp>
    <xdr:clientData/>
  </xdr:twoCellAnchor>
  <xdr:twoCellAnchor editAs="absolute">
    <xdr:from>
      <xdr:col>2</xdr:col>
      <xdr:colOff>619125</xdr:colOff>
      <xdr:row>12</xdr:row>
      <xdr:rowOff>82550</xdr:rowOff>
    </xdr:from>
    <xdr:to>
      <xdr:col>2</xdr:col>
      <xdr:colOff>1406525</xdr:colOff>
      <xdr:row>14</xdr:row>
      <xdr:rowOff>12700</xdr:rowOff>
    </xdr:to>
    <xdr:sp macro="[0]!LimparLancamento" textlink="">
      <xdr:nvSpPr>
        <xdr:cNvPr id="22" name="btLimparLancamento21">
          <a:extLst>
            <a:ext uri="{FF2B5EF4-FFF2-40B4-BE49-F238E27FC236}">
              <a16:creationId xmlns:a16="http://schemas.microsoft.com/office/drawing/2014/main" id="{DE0394E6-8C57-E0E4-93E3-88E7DF447C58}"/>
            </a:ext>
          </a:extLst>
        </xdr:cNvPr>
        <xdr:cNvSpPr/>
      </xdr:nvSpPr>
      <xdr:spPr>
        <a:xfrm>
          <a:off x="1781175" y="3702050"/>
          <a:ext cx="787400" cy="330200"/>
        </a:xfrm>
        <a:prstGeom prst="roundRect">
          <a:avLst>
            <a:gd name="adj" fmla="val 20000"/>
          </a:avLst>
        </a:prstGeom>
        <a:solidFill>
          <a:srgbClr val="FFFFFF"/>
        </a:solidFill>
        <a:ln w="9525">
          <a:solidFill>
            <a:srgbClr val="E2E8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950" b="1">
              <a:solidFill>
                <a:srgbClr val="1A202C"/>
              </a:solidFill>
              <a:latin typeface="Segoe UI" panose="020B0502040204020203" pitchFamily="34" charset="0"/>
            </a:rPr>
            <a:t>Limpar</a:t>
          </a:r>
        </a:p>
      </xdr:txBody>
    </xdr:sp>
    <xdr:clientData/>
  </xdr:twoCellAnchor>
  <xdr:twoCellAnchor editAs="absolute">
    <xdr:from>
      <xdr:col>2</xdr:col>
      <xdr:colOff>1482725</xdr:colOff>
      <xdr:row>12</xdr:row>
      <xdr:rowOff>82550</xdr:rowOff>
    </xdr:from>
    <xdr:to>
      <xdr:col>4</xdr:col>
      <xdr:colOff>41275</xdr:colOff>
      <xdr:row>14</xdr:row>
      <xdr:rowOff>12700</xdr:rowOff>
    </xdr:to>
    <xdr:sp macro="[0]!DesfazerUltimoLancamento" textlink="">
      <xdr:nvSpPr>
        <xdr:cNvPr id="23" name="btDesfazerUltimoLancamento22">
          <a:extLst>
            <a:ext uri="{FF2B5EF4-FFF2-40B4-BE49-F238E27FC236}">
              <a16:creationId xmlns:a16="http://schemas.microsoft.com/office/drawing/2014/main" id="{552780EA-75F2-A88B-56C2-BA2C8684D8F7}"/>
            </a:ext>
          </a:extLst>
        </xdr:cNvPr>
        <xdr:cNvSpPr/>
      </xdr:nvSpPr>
      <xdr:spPr>
        <a:xfrm>
          <a:off x="2644775" y="3702050"/>
          <a:ext cx="1320800" cy="330200"/>
        </a:xfrm>
        <a:prstGeom prst="roundRect">
          <a:avLst>
            <a:gd name="adj" fmla="val 20000"/>
          </a:avLst>
        </a:prstGeom>
        <a:solidFill>
          <a:srgbClr val="FFFFFF"/>
        </a:solidFill>
        <a:ln w="9525">
          <a:solidFill>
            <a:srgbClr val="E2E8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950" b="1">
              <a:solidFill>
                <a:srgbClr val="1A202C"/>
              </a:solidFill>
              <a:latin typeface="Segoe UI" panose="020B0502040204020203" pitchFamily="34" charset="0"/>
            </a:rPr>
            <a:t>Desfazer último</a:t>
          </a:r>
        </a:p>
      </xdr:txBody>
    </xdr:sp>
    <xdr:clientData/>
  </xdr:twoCellAnchor>
  <xdr:twoCellAnchor editAs="absolute">
    <xdr:from>
      <xdr:col>5</xdr:col>
      <xdr:colOff>127000</xdr:colOff>
      <xdr:row>12</xdr:row>
      <xdr:rowOff>82550</xdr:rowOff>
    </xdr:from>
    <xdr:to>
      <xdr:col>6</xdr:col>
      <xdr:colOff>1050925</xdr:colOff>
      <xdr:row>14</xdr:row>
      <xdr:rowOff>12700</xdr:rowOff>
    </xdr:to>
    <xdr:sp macro="[0]!CadastrarCategoria" textlink="">
      <xdr:nvSpPr>
        <xdr:cNvPr id="24" name="btCadastrarCategoria23">
          <a:extLst>
            <a:ext uri="{FF2B5EF4-FFF2-40B4-BE49-F238E27FC236}">
              <a16:creationId xmlns:a16="http://schemas.microsoft.com/office/drawing/2014/main" id="{766B8B42-ED19-8300-5FB2-1F474A4104D0}"/>
            </a:ext>
          </a:extLst>
        </xdr:cNvPr>
        <xdr:cNvSpPr/>
      </xdr:nvSpPr>
      <xdr:spPr>
        <a:xfrm>
          <a:off x="4298950" y="3702050"/>
          <a:ext cx="1905000" cy="330200"/>
        </a:xfrm>
        <a:prstGeom prst="roundRect">
          <a:avLst>
            <a:gd name="adj" fmla="val 20000"/>
          </a:avLst>
        </a:prstGeom>
        <a:solidFill>
          <a:srgbClr val="2A6FB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950" b="1">
              <a:solidFill>
                <a:srgbClr val="FFFFFF"/>
              </a:solidFill>
              <a:latin typeface="Segoe UI" panose="020B0502040204020203" pitchFamily="34" charset="0"/>
            </a:rPr>
            <a:t>Cadastrar categoria</a:t>
          </a:r>
        </a:p>
      </xdr:txBody>
    </xdr:sp>
    <xdr:clientData/>
  </xdr:twoCellAnchor>
  <xdr:twoCellAnchor editAs="absolute">
    <xdr:from>
      <xdr:col>9</xdr:col>
      <xdr:colOff>127000</xdr:colOff>
      <xdr:row>12</xdr:row>
      <xdr:rowOff>82550</xdr:rowOff>
    </xdr:from>
    <xdr:to>
      <xdr:col>10</xdr:col>
      <xdr:colOff>930275</xdr:colOff>
      <xdr:row>14</xdr:row>
      <xdr:rowOff>12700</xdr:rowOff>
    </xdr:to>
    <xdr:sp macro="[0]!RegistrarRenda" textlink="">
      <xdr:nvSpPr>
        <xdr:cNvPr id="25" name="btRegistrarRenda24">
          <a:extLst>
            <a:ext uri="{FF2B5EF4-FFF2-40B4-BE49-F238E27FC236}">
              <a16:creationId xmlns:a16="http://schemas.microsoft.com/office/drawing/2014/main" id="{1C89ADA7-C9FB-05C2-BFE8-81DDEB2014CE}"/>
            </a:ext>
          </a:extLst>
        </xdr:cNvPr>
        <xdr:cNvSpPr/>
      </xdr:nvSpPr>
      <xdr:spPr>
        <a:xfrm>
          <a:off x="7489825" y="3702050"/>
          <a:ext cx="1651000" cy="330200"/>
        </a:xfrm>
        <a:prstGeom prst="roundRect">
          <a:avLst>
            <a:gd name="adj" fmla="val 20000"/>
          </a:avLst>
        </a:prstGeom>
        <a:solidFill>
          <a:srgbClr val="2A6FB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950" b="1">
              <a:solidFill>
                <a:srgbClr val="FFFFFF"/>
              </a:solidFill>
              <a:latin typeface="Segoe UI" panose="020B0502040204020203" pitchFamily="34" charset="0"/>
            </a:rPr>
            <a:t>Registrar renda</a:t>
          </a:r>
        </a:p>
      </xdr:txBody>
    </xdr:sp>
    <xdr:clientData/>
  </xdr:twoCellAnchor>
  <xdr:twoCellAnchor editAs="absolute">
    <xdr:from>
      <xdr:col>1</xdr:col>
      <xdr:colOff>127000</xdr:colOff>
      <xdr:row>18</xdr:row>
      <xdr:rowOff>12700</xdr:rowOff>
    </xdr:from>
    <xdr:to>
      <xdr:col>2</xdr:col>
      <xdr:colOff>1558925</xdr:colOff>
      <xdr:row>19</xdr:row>
      <xdr:rowOff>38100</xdr:rowOff>
    </xdr:to>
    <xdr:sp macro="[0]!ImportarExtrato" textlink="">
      <xdr:nvSpPr>
        <xdr:cNvPr id="26" name="btImportarExtrato25">
          <a:extLst>
            <a:ext uri="{FF2B5EF4-FFF2-40B4-BE49-F238E27FC236}">
              <a16:creationId xmlns:a16="http://schemas.microsoft.com/office/drawing/2014/main" id="{D93CA1DB-C661-74D4-CA07-FF1ADE57112B}"/>
            </a:ext>
          </a:extLst>
        </xdr:cNvPr>
        <xdr:cNvSpPr/>
      </xdr:nvSpPr>
      <xdr:spPr>
        <a:xfrm>
          <a:off x="307975" y="4727575"/>
          <a:ext cx="2413000" cy="330200"/>
        </a:xfrm>
        <a:prstGeom prst="roundRect">
          <a:avLst>
            <a:gd name="adj" fmla="val 20000"/>
          </a:avLst>
        </a:prstGeom>
        <a:solidFill>
          <a:srgbClr val="11917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950" b="1">
              <a:solidFill>
                <a:srgbClr val="FFFFFF"/>
              </a:solidFill>
              <a:latin typeface="Segoe UI" panose="020B0502040204020203" pitchFamily="34" charset="0"/>
            </a:rPr>
            <a:t>Importar extrato (Python)</a:t>
          </a:r>
        </a:p>
      </xdr:txBody>
    </xdr:sp>
    <xdr:clientData/>
  </xdr:twoCellAnchor>
  <xdr:twoCellAnchor editAs="absolute">
    <xdr:from>
      <xdr:col>2</xdr:col>
      <xdr:colOff>1660525</xdr:colOff>
      <xdr:row>18</xdr:row>
      <xdr:rowOff>12700</xdr:rowOff>
    </xdr:from>
    <xdr:to>
      <xdr:col>5</xdr:col>
      <xdr:colOff>809625</xdr:colOff>
      <xdr:row>19</xdr:row>
      <xdr:rowOff>38100</xdr:rowOff>
    </xdr:to>
    <xdr:sp macro="[0]!AuditarDados" textlink="">
      <xdr:nvSpPr>
        <xdr:cNvPr id="27" name="btAuditarDados26">
          <a:extLst>
            <a:ext uri="{FF2B5EF4-FFF2-40B4-BE49-F238E27FC236}">
              <a16:creationId xmlns:a16="http://schemas.microsoft.com/office/drawing/2014/main" id="{83DFC84D-F85A-EE45-C306-C57EAF31EF63}"/>
            </a:ext>
          </a:extLst>
        </xdr:cNvPr>
        <xdr:cNvSpPr/>
      </xdr:nvSpPr>
      <xdr:spPr>
        <a:xfrm>
          <a:off x="2822575" y="4727575"/>
          <a:ext cx="2159000" cy="330200"/>
        </a:xfrm>
        <a:prstGeom prst="roundRect">
          <a:avLst>
            <a:gd name="adj" fmla="val 20000"/>
          </a:avLst>
        </a:prstGeom>
        <a:solidFill>
          <a:srgbClr val="FFFFFF"/>
        </a:solidFill>
        <a:ln w="9525">
          <a:solidFill>
            <a:srgbClr val="E2E8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950" b="1">
              <a:solidFill>
                <a:srgbClr val="1A202C"/>
              </a:solidFill>
              <a:latin typeface="Segoe UI" panose="020B0502040204020203" pitchFamily="34" charset="0"/>
            </a:rPr>
            <a:t>Auditar dados (Python)</a:t>
          </a:r>
        </a:p>
      </xdr:txBody>
    </xdr:sp>
    <xdr:clientData/>
  </xdr:twoCellAnchor>
  <xdr:twoCellAnchor editAs="absolute">
    <xdr:from>
      <xdr:col>5</xdr:col>
      <xdr:colOff>911225</xdr:colOff>
      <xdr:row>18</xdr:row>
      <xdr:rowOff>12700</xdr:rowOff>
    </xdr:from>
    <xdr:to>
      <xdr:col>6</xdr:col>
      <xdr:colOff>1708150</xdr:colOff>
      <xdr:row>19</xdr:row>
      <xdr:rowOff>38100</xdr:rowOff>
    </xdr:to>
    <xdr:sp macro="[0]!IrContas" textlink="">
      <xdr:nvSpPr>
        <xdr:cNvPr id="28" name="btIrContas27">
          <a:extLst>
            <a:ext uri="{FF2B5EF4-FFF2-40B4-BE49-F238E27FC236}">
              <a16:creationId xmlns:a16="http://schemas.microsoft.com/office/drawing/2014/main" id="{3161CD7B-4EE2-C107-F577-86F9E7CEDFF0}"/>
            </a:ext>
          </a:extLst>
        </xdr:cNvPr>
        <xdr:cNvSpPr/>
      </xdr:nvSpPr>
      <xdr:spPr>
        <a:xfrm>
          <a:off x="5083175" y="4727575"/>
          <a:ext cx="1778000" cy="330200"/>
        </a:xfrm>
        <a:prstGeom prst="roundRect">
          <a:avLst>
            <a:gd name="adj" fmla="val 20000"/>
          </a:avLst>
        </a:prstGeom>
        <a:solidFill>
          <a:srgbClr val="FFFFFF"/>
        </a:solidFill>
        <a:ln w="9525">
          <a:solidFill>
            <a:srgbClr val="E2E8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950" b="1">
              <a:solidFill>
                <a:srgbClr val="1A202C"/>
              </a:solidFill>
              <a:latin typeface="Segoe UI" panose="020B0502040204020203" pitchFamily="34" charset="0"/>
            </a:rPr>
            <a:t>Gerar contas do mês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19</xdr:col>
      <xdr:colOff>95250</xdr:colOff>
      <xdr:row>1</xdr:row>
      <xdr:rowOff>6350</xdr:rowOff>
    </xdr:to>
    <xdr:sp macro="" textlink="">
      <xdr:nvSpPr>
        <xdr:cNvPr id="2" name="cabFundo">
          <a:extLst>
            <a:ext uri="{FF2B5EF4-FFF2-40B4-BE49-F238E27FC236}">
              <a16:creationId xmlns:a16="http://schemas.microsoft.com/office/drawing/2014/main" id="{1D65147C-260B-21B5-C692-E654C729A7B5}"/>
            </a:ext>
          </a:extLst>
        </xdr:cNvPr>
        <xdr:cNvSpPr/>
      </xdr:nvSpPr>
      <xdr:spPr>
        <a:xfrm>
          <a:off x="0" y="0"/>
          <a:ext cx="16192500" cy="558800"/>
        </a:xfrm>
        <a:prstGeom prst="rect">
          <a:avLst/>
        </a:prstGeom>
        <a:solidFill>
          <a:srgbClr val="0B1F3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</xdr:col>
      <xdr:colOff>47625</xdr:colOff>
      <xdr:row>0</xdr:row>
      <xdr:rowOff>76200</xdr:rowOff>
    </xdr:from>
    <xdr:to>
      <xdr:col>3</xdr:col>
      <xdr:colOff>628650</xdr:colOff>
      <xdr:row>0</xdr:row>
      <xdr:rowOff>330200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81E78C0-7DD1-524E-8767-5757BDA540FD}"/>
            </a:ext>
          </a:extLst>
        </xdr:cNvPr>
        <xdr:cNvSpPr txBox="1"/>
      </xdr:nvSpPr>
      <xdr:spPr>
        <a:xfrm>
          <a:off x="228600" y="76200"/>
          <a:ext cx="3810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r>
            <a:rPr lang="pt-BR" sz="1400" b="1">
              <a:solidFill>
                <a:srgbClr val="FFFFFF"/>
              </a:solidFill>
              <a:latin typeface="Segoe UI" panose="020B0502040204020203" pitchFamily="34" charset="0"/>
            </a:rPr>
            <a:t>Casa Organizada</a:t>
          </a:r>
        </a:p>
      </xdr:txBody>
    </xdr:sp>
    <xdr:clientData/>
  </xdr:twoCellAnchor>
  <xdr:twoCellAnchor editAs="absolute">
    <xdr:from>
      <xdr:col>1</xdr:col>
      <xdr:colOff>47625</xdr:colOff>
      <xdr:row>0</xdr:row>
      <xdr:rowOff>330200</xdr:rowOff>
    </xdr:from>
    <xdr:to>
      <xdr:col>3</xdr:col>
      <xdr:colOff>628650</xdr:colOff>
      <xdr:row>0</xdr:row>
      <xdr:rowOff>482600</xdr:rowOff>
    </xdr:to>
    <xdr:sp macro="" textlink="Calc!$C$58">
      <xdr:nvSpPr>
        <xdr:cNvPr id="4" name="cabPeriodo">
          <a:extLst>
            <a:ext uri="{FF2B5EF4-FFF2-40B4-BE49-F238E27FC236}">
              <a16:creationId xmlns:a16="http://schemas.microsoft.com/office/drawing/2014/main" id="{3BEFA8E8-2581-7880-FA2F-BF9EFDA7B100}"/>
            </a:ext>
          </a:extLst>
        </xdr:cNvPr>
        <xdr:cNvSpPr txBox="1"/>
      </xdr:nvSpPr>
      <xdr:spPr>
        <a:xfrm>
          <a:off x="228600" y="330200"/>
          <a:ext cx="38100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7D9DAAD6-24A6-4FBD-ABF1-96E57B4EA19F}" type="TxLink">
            <a:rPr lang="en-US" sz="850" b="0" i="0" u="none" strike="noStrike">
              <a:solidFill>
                <a:srgbClr val="A5B4C8"/>
              </a:solidFill>
              <a:latin typeface="Segoe UI" panose="020B0502040204020203" pitchFamily="34" charset="0"/>
              <a:ea typeface="Calibri"/>
              <a:cs typeface="Calibri"/>
            </a:rPr>
            <a:pPr/>
            <a:t>JAN de 2025</a:t>
          </a:fld>
          <a:endParaRPr lang="pt-BR" sz="850" b="0">
            <a:solidFill>
              <a:srgbClr val="A5B4C8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2079625</xdr:colOff>
      <xdr:row>0</xdr:row>
      <xdr:rowOff>203200</xdr:rowOff>
    </xdr:from>
    <xdr:to>
      <xdr:col>5</xdr:col>
      <xdr:colOff>504825</xdr:colOff>
      <xdr:row>0</xdr:row>
      <xdr:rowOff>381000</xdr:rowOff>
    </xdr:to>
    <xdr:sp macro="" textlink="Calc!$C$56">
      <xdr:nvSpPr>
        <xdr:cNvPr id="5" name="chipStatus">
          <a:extLst>
            <a:ext uri="{FF2B5EF4-FFF2-40B4-BE49-F238E27FC236}">
              <a16:creationId xmlns:a16="http://schemas.microsoft.com/office/drawing/2014/main" id="{249FFC04-4CF8-A0DE-EA85-F40E1814265D}"/>
            </a:ext>
          </a:extLst>
        </xdr:cNvPr>
        <xdr:cNvSpPr txBox="1"/>
      </xdr:nvSpPr>
      <xdr:spPr>
        <a:xfrm>
          <a:off x="3175000" y="203200"/>
          <a:ext cx="330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7FCDFDFF-EFBB-40F6-BEFC-0DBBEFD7584D}" type="TxLink">
            <a:rPr lang="en-US" sz="900" b="1" i="0" u="none" strike="noStrike">
              <a:solidFill>
                <a:srgbClr val="86EFAC"/>
              </a:solidFill>
              <a:latin typeface="Segoe UI" panose="020B0502040204020203" pitchFamily="34" charset="0"/>
              <a:ea typeface="Calibri"/>
              <a:cs typeface="Calibri"/>
            </a:rPr>
            <a:pPr/>
            <a:t>✓ Dados consistentes</a:t>
          </a:fld>
          <a:endParaRPr lang="pt-BR" sz="900" b="1">
            <a:solidFill>
              <a:srgbClr val="86EFAC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8</xdr:col>
      <xdr:colOff>815975</xdr:colOff>
      <xdr:row>0</xdr:row>
      <xdr:rowOff>114300</xdr:rowOff>
    </xdr:from>
    <xdr:to>
      <xdr:col>10</xdr:col>
      <xdr:colOff>463550</xdr:colOff>
      <xdr:row>0</xdr:row>
      <xdr:rowOff>444500</xdr:rowOff>
    </xdr:to>
    <xdr:sp macro="[0]!IrCadastro" textlink="">
      <xdr:nvSpPr>
        <xdr:cNvPr id="6" name="btIrCadastro5">
          <a:extLst>
            <a:ext uri="{FF2B5EF4-FFF2-40B4-BE49-F238E27FC236}">
              <a16:creationId xmlns:a16="http://schemas.microsoft.com/office/drawing/2014/main" id="{47172A56-03EB-7E24-D3AB-CCB3CB3A89A4}"/>
            </a:ext>
          </a:extLst>
        </xdr:cNvPr>
        <xdr:cNvSpPr/>
      </xdr:nvSpPr>
      <xdr:spPr>
        <a:xfrm>
          <a:off x="9398000" y="114300"/>
          <a:ext cx="1676400" cy="330200"/>
        </a:xfrm>
        <a:prstGeom prst="roundRect">
          <a:avLst>
            <a:gd name="adj" fmla="val 20000"/>
          </a:avLst>
        </a:prstGeom>
        <a:solidFill>
          <a:srgbClr val="C9A22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950" b="1">
              <a:solidFill>
                <a:srgbClr val="0B1F3A"/>
              </a:solidFill>
              <a:latin typeface="Segoe UI" panose="020B0502040204020203" pitchFamily="34" charset="0"/>
            </a:rPr>
            <a:t>+ Lançar gasto</a:t>
          </a:r>
        </a:p>
      </xdr:txBody>
    </xdr:sp>
    <xdr:clientData/>
  </xdr:twoCellAnchor>
  <xdr:twoCellAnchor editAs="absolute">
    <xdr:from>
      <xdr:col>0</xdr:col>
      <xdr:colOff>0</xdr:colOff>
      <xdr:row>1</xdr:row>
      <xdr:rowOff>6350</xdr:rowOff>
    </xdr:from>
    <xdr:to>
      <xdr:col>19</xdr:col>
      <xdr:colOff>95250</xdr:colOff>
      <xdr:row>2</xdr:row>
      <xdr:rowOff>6350</xdr:rowOff>
    </xdr:to>
    <xdr:sp macro="" textlink="">
      <xdr:nvSpPr>
        <xdr:cNvPr id="7" name="navFundo">
          <a:extLst>
            <a:ext uri="{FF2B5EF4-FFF2-40B4-BE49-F238E27FC236}">
              <a16:creationId xmlns:a16="http://schemas.microsoft.com/office/drawing/2014/main" id="{46CF8CB3-BC9B-87E4-0C47-5D301F02DA2C}"/>
            </a:ext>
          </a:extLst>
        </xdr:cNvPr>
        <xdr:cNvSpPr/>
      </xdr:nvSpPr>
      <xdr:spPr>
        <a:xfrm>
          <a:off x="0" y="558800"/>
          <a:ext cx="16192500" cy="3810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0</xdr:colOff>
      <xdr:row>2</xdr:row>
      <xdr:rowOff>6350</xdr:rowOff>
    </xdr:from>
    <xdr:to>
      <xdr:col>19</xdr:col>
      <xdr:colOff>95250</xdr:colOff>
      <xdr:row>2</xdr:row>
      <xdr:rowOff>6350</xdr:rowOff>
    </xdr:to>
    <xdr:cxnSp macro="">
      <xdr:nvCxnSpPr>
        <xdr:cNvPr id="8" name="navLinha">
          <a:extLst>
            <a:ext uri="{FF2B5EF4-FFF2-40B4-BE49-F238E27FC236}">
              <a16:creationId xmlns:a16="http://schemas.microsoft.com/office/drawing/2014/main" id="{95204DD1-1BCC-3188-F385-E3F9E9065510}"/>
            </a:ext>
          </a:extLst>
        </xdr:cNvPr>
        <xdr:cNvCxnSpPr/>
      </xdr:nvCxnSpPr>
      <xdr:spPr>
        <a:xfrm>
          <a:off x="0" y="939800"/>
          <a:ext cx="16192500" cy="0"/>
        </a:xfrm>
        <a:prstGeom prst="line">
          <a:avLst/>
        </a:prstGeom>
        <a:ln>
          <a:solidFill>
            <a:srgbClr val="E2E8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152400</xdr:colOff>
      <xdr:row>1</xdr:row>
      <xdr:rowOff>57150</xdr:rowOff>
    </xdr:from>
    <xdr:to>
      <xdr:col>1</xdr:col>
      <xdr:colOff>738505</xdr:colOff>
      <xdr:row>1</xdr:row>
      <xdr:rowOff>361950</xdr:rowOff>
    </xdr:to>
    <xdr:sp macro="[0]!Navegar" textlink="">
      <xdr:nvSpPr>
        <xdr:cNvPr id="9" name="nav_0">
          <a:extLst>
            <a:ext uri="{FF2B5EF4-FFF2-40B4-BE49-F238E27FC236}">
              <a16:creationId xmlns:a16="http://schemas.microsoft.com/office/drawing/2014/main" id="{E9A9F851-9857-5AA0-6992-8B9C8B1C4A77}"/>
            </a:ext>
          </a:extLst>
        </xdr:cNvPr>
        <xdr:cNvSpPr txBox="1"/>
      </xdr:nvSpPr>
      <xdr:spPr>
        <a:xfrm>
          <a:off x="15240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Painel</a:t>
          </a:r>
        </a:p>
      </xdr:txBody>
    </xdr:sp>
    <xdr:clientData/>
  </xdr:twoCellAnchor>
  <xdr:twoCellAnchor editAs="absolute">
    <xdr:from>
      <xdr:col>1</xdr:col>
      <xdr:colOff>789305</xdr:colOff>
      <xdr:row>1</xdr:row>
      <xdr:rowOff>57150</xdr:rowOff>
    </xdr:from>
    <xdr:to>
      <xdr:col>2</xdr:col>
      <xdr:colOff>723265</xdr:colOff>
      <xdr:row>1</xdr:row>
      <xdr:rowOff>361950</xdr:rowOff>
    </xdr:to>
    <xdr:sp macro="[0]!Navegar" textlink="">
      <xdr:nvSpPr>
        <xdr:cNvPr id="10" name="nav_1">
          <a:extLst>
            <a:ext uri="{FF2B5EF4-FFF2-40B4-BE49-F238E27FC236}">
              <a16:creationId xmlns:a16="http://schemas.microsoft.com/office/drawing/2014/main" id="{8421EDC9-2D4F-842F-011E-2DB28A0FF4C7}"/>
            </a:ext>
          </a:extLst>
        </xdr:cNvPr>
        <xdr:cNvSpPr txBox="1"/>
      </xdr:nvSpPr>
      <xdr:spPr>
        <a:xfrm>
          <a:off x="970280" y="609600"/>
          <a:ext cx="84836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Análise</a:t>
          </a:r>
        </a:p>
      </xdr:txBody>
    </xdr:sp>
    <xdr:clientData/>
  </xdr:twoCellAnchor>
  <xdr:twoCellAnchor editAs="absolute">
    <xdr:from>
      <xdr:col>2</xdr:col>
      <xdr:colOff>774065</xdr:colOff>
      <xdr:row>1</xdr:row>
      <xdr:rowOff>57150</xdr:rowOff>
    </xdr:from>
    <xdr:to>
      <xdr:col>2</xdr:col>
      <xdr:colOff>1541145</xdr:colOff>
      <xdr:row>1</xdr:row>
      <xdr:rowOff>361950</xdr:rowOff>
    </xdr:to>
    <xdr:sp macro="[0]!Navegar" textlink="">
      <xdr:nvSpPr>
        <xdr:cNvPr id="11" name="nav_2">
          <a:extLst>
            <a:ext uri="{FF2B5EF4-FFF2-40B4-BE49-F238E27FC236}">
              <a16:creationId xmlns:a16="http://schemas.microsoft.com/office/drawing/2014/main" id="{515907F3-A84F-B232-E155-7C53588D8D09}"/>
            </a:ext>
          </a:extLst>
        </xdr:cNvPr>
        <xdr:cNvSpPr txBox="1"/>
      </xdr:nvSpPr>
      <xdr:spPr>
        <a:xfrm>
          <a:off x="186944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Lançar</a:t>
          </a:r>
        </a:p>
      </xdr:txBody>
    </xdr:sp>
    <xdr:clientData/>
  </xdr:twoCellAnchor>
  <xdr:twoCellAnchor editAs="absolute">
    <xdr:from>
      <xdr:col>2</xdr:col>
      <xdr:colOff>1591945</xdr:colOff>
      <xdr:row>1</xdr:row>
      <xdr:rowOff>57150</xdr:rowOff>
    </xdr:from>
    <xdr:to>
      <xdr:col>3</xdr:col>
      <xdr:colOff>44450</xdr:colOff>
      <xdr:row>1</xdr:row>
      <xdr:rowOff>361950</xdr:rowOff>
    </xdr:to>
    <xdr:sp macro="[0]!Navegar" textlink="">
      <xdr:nvSpPr>
        <xdr:cNvPr id="12" name="nav_3">
          <a:extLst>
            <a:ext uri="{FF2B5EF4-FFF2-40B4-BE49-F238E27FC236}">
              <a16:creationId xmlns:a16="http://schemas.microsoft.com/office/drawing/2014/main" id="{47A70923-EBCA-242A-846A-2C276B2DBCE3}"/>
            </a:ext>
          </a:extLst>
        </xdr:cNvPr>
        <xdr:cNvSpPr txBox="1"/>
      </xdr:nvSpPr>
      <xdr:spPr>
        <a:xfrm>
          <a:off x="268732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1">
              <a:solidFill>
                <a:srgbClr val="0B1F3A"/>
              </a:solidFill>
              <a:latin typeface="Segoe UI" panose="020B0502040204020203" pitchFamily="34" charset="0"/>
            </a:rPr>
            <a:t>Contas</a:t>
          </a:r>
        </a:p>
      </xdr:txBody>
    </xdr:sp>
    <xdr:clientData/>
  </xdr:twoCellAnchor>
  <xdr:twoCellAnchor editAs="absolute">
    <xdr:from>
      <xdr:col>2</xdr:col>
      <xdr:colOff>1668145</xdr:colOff>
      <xdr:row>1</xdr:row>
      <xdr:rowOff>349250</xdr:rowOff>
    </xdr:from>
    <xdr:to>
      <xdr:col>2</xdr:col>
      <xdr:colOff>2282825</xdr:colOff>
      <xdr:row>2</xdr:row>
      <xdr:rowOff>6350</xdr:rowOff>
    </xdr:to>
    <xdr:sp macro="" textlink="">
      <xdr:nvSpPr>
        <xdr:cNvPr id="13" name="navAtivo">
          <a:extLst>
            <a:ext uri="{FF2B5EF4-FFF2-40B4-BE49-F238E27FC236}">
              <a16:creationId xmlns:a16="http://schemas.microsoft.com/office/drawing/2014/main" id="{F5C072E0-9437-F823-748C-A9466D77520C}"/>
            </a:ext>
          </a:extLst>
        </xdr:cNvPr>
        <xdr:cNvSpPr/>
      </xdr:nvSpPr>
      <xdr:spPr>
        <a:xfrm>
          <a:off x="2763520" y="901700"/>
          <a:ext cx="614680" cy="38100"/>
        </a:xfrm>
        <a:prstGeom prst="rect">
          <a:avLst/>
        </a:prstGeom>
        <a:solidFill>
          <a:srgbClr val="C9A22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3</xdr:col>
      <xdr:colOff>95250</xdr:colOff>
      <xdr:row>1</xdr:row>
      <xdr:rowOff>57150</xdr:rowOff>
    </xdr:from>
    <xdr:to>
      <xdr:col>4</xdr:col>
      <xdr:colOff>133350</xdr:colOff>
      <xdr:row>1</xdr:row>
      <xdr:rowOff>361950</xdr:rowOff>
    </xdr:to>
    <xdr:sp macro="[0]!Navegar" textlink="">
      <xdr:nvSpPr>
        <xdr:cNvPr id="14" name="nav_4">
          <a:extLst>
            <a:ext uri="{FF2B5EF4-FFF2-40B4-BE49-F238E27FC236}">
              <a16:creationId xmlns:a16="http://schemas.microsoft.com/office/drawing/2014/main" id="{FBF09237-3E0E-3ACB-1CC2-D0F558E3969A}"/>
            </a:ext>
          </a:extLst>
        </xdr:cNvPr>
        <xdr:cNvSpPr txBox="1"/>
      </xdr:nvSpPr>
      <xdr:spPr>
        <a:xfrm>
          <a:off x="3505200" y="609600"/>
          <a:ext cx="6858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Metas</a:t>
          </a:r>
        </a:p>
      </xdr:txBody>
    </xdr:sp>
    <xdr:clientData/>
  </xdr:twoCellAnchor>
  <xdr:twoCellAnchor editAs="absolute">
    <xdr:from>
      <xdr:col>4</xdr:col>
      <xdr:colOff>209550</xdr:colOff>
      <xdr:row>1</xdr:row>
      <xdr:rowOff>107950</xdr:rowOff>
    </xdr:from>
    <xdr:to>
      <xdr:col>4</xdr:col>
      <xdr:colOff>209550</xdr:colOff>
      <xdr:row>1</xdr:row>
      <xdr:rowOff>311150</xdr:rowOff>
    </xdr:to>
    <xdr:cxnSp macro="">
      <xdr:nvCxnSpPr>
        <xdr:cNvPr id="15" name="navSep">
          <a:extLst>
            <a:ext uri="{FF2B5EF4-FFF2-40B4-BE49-F238E27FC236}">
              <a16:creationId xmlns:a16="http://schemas.microsoft.com/office/drawing/2014/main" id="{79B88A6A-3470-DA9B-9C65-B63C80CB8163}"/>
            </a:ext>
          </a:extLst>
        </xdr:cNvPr>
        <xdr:cNvCxnSpPr/>
      </xdr:nvCxnSpPr>
      <xdr:spPr>
        <a:xfrm>
          <a:off x="4267200" y="660400"/>
          <a:ext cx="0" cy="203200"/>
        </a:xfrm>
        <a:prstGeom prst="line">
          <a:avLst/>
        </a:prstGeom>
        <a:ln>
          <a:solidFill>
            <a:srgbClr val="E2E8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4</xdr:col>
      <xdr:colOff>285750</xdr:colOff>
      <xdr:row>1</xdr:row>
      <xdr:rowOff>57150</xdr:rowOff>
    </xdr:from>
    <xdr:to>
      <xdr:col>4</xdr:col>
      <xdr:colOff>1459230</xdr:colOff>
      <xdr:row>1</xdr:row>
      <xdr:rowOff>361950</xdr:rowOff>
    </xdr:to>
    <xdr:sp macro="[0]!Navegar" textlink="">
      <xdr:nvSpPr>
        <xdr:cNvPr id="16" name="nav_5">
          <a:extLst>
            <a:ext uri="{FF2B5EF4-FFF2-40B4-BE49-F238E27FC236}">
              <a16:creationId xmlns:a16="http://schemas.microsoft.com/office/drawing/2014/main" id="{D4137126-C238-F46F-E916-4958A09056BA}"/>
            </a:ext>
          </a:extLst>
        </xdr:cNvPr>
        <xdr:cNvSpPr txBox="1"/>
      </xdr:nvSpPr>
      <xdr:spPr>
        <a:xfrm>
          <a:off x="4343400" y="609600"/>
          <a:ext cx="11734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4</xdr:col>
      <xdr:colOff>1510030</xdr:colOff>
      <xdr:row>1</xdr:row>
      <xdr:rowOff>57150</xdr:rowOff>
    </xdr:from>
    <xdr:to>
      <xdr:col>5</xdr:col>
      <xdr:colOff>606425</xdr:colOff>
      <xdr:row>1</xdr:row>
      <xdr:rowOff>361950</xdr:rowOff>
    </xdr:to>
    <xdr:sp macro="[0]!Navegar" textlink="">
      <xdr:nvSpPr>
        <xdr:cNvPr id="17" name="nav_6">
          <a:extLst>
            <a:ext uri="{FF2B5EF4-FFF2-40B4-BE49-F238E27FC236}">
              <a16:creationId xmlns:a16="http://schemas.microsoft.com/office/drawing/2014/main" id="{12BBF65C-D9A0-3473-091A-8C4C7197A1A5}"/>
            </a:ext>
          </a:extLst>
        </xdr:cNvPr>
        <xdr:cNvSpPr txBox="1"/>
      </xdr:nvSpPr>
      <xdr:spPr>
        <a:xfrm>
          <a:off x="5567680" y="609600"/>
          <a:ext cx="101092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Orçamento</a:t>
          </a:r>
        </a:p>
      </xdr:txBody>
    </xdr:sp>
    <xdr:clientData/>
  </xdr:twoCellAnchor>
  <xdr:twoCellAnchor editAs="absolute">
    <xdr:from>
      <xdr:col>5</xdr:col>
      <xdr:colOff>657225</xdr:colOff>
      <xdr:row>1</xdr:row>
      <xdr:rowOff>57150</xdr:rowOff>
    </xdr:from>
    <xdr:to>
      <xdr:col>6</xdr:col>
      <xdr:colOff>509905</xdr:colOff>
      <xdr:row>1</xdr:row>
      <xdr:rowOff>361950</xdr:rowOff>
    </xdr:to>
    <xdr:sp macro="[0]!Navegar" textlink="">
      <xdr:nvSpPr>
        <xdr:cNvPr id="18" name="nav_7">
          <a:extLst>
            <a:ext uri="{FF2B5EF4-FFF2-40B4-BE49-F238E27FC236}">
              <a16:creationId xmlns:a16="http://schemas.microsoft.com/office/drawing/2014/main" id="{3053CFB9-EFE0-4968-6364-6CE678918036}"/>
            </a:ext>
          </a:extLst>
        </xdr:cNvPr>
        <xdr:cNvSpPr txBox="1"/>
      </xdr:nvSpPr>
      <xdr:spPr>
        <a:xfrm>
          <a:off x="662940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Rendas</a:t>
          </a:r>
        </a:p>
      </xdr:txBody>
    </xdr:sp>
    <xdr:clientData/>
  </xdr:twoCellAnchor>
  <xdr:twoCellAnchor editAs="absolute">
    <xdr:from>
      <xdr:col>6</xdr:col>
      <xdr:colOff>560705</xdr:colOff>
      <xdr:row>1</xdr:row>
      <xdr:rowOff>57150</xdr:rowOff>
    </xdr:from>
    <xdr:to>
      <xdr:col>7</xdr:col>
      <xdr:colOff>738505</xdr:colOff>
      <xdr:row>1</xdr:row>
      <xdr:rowOff>361950</xdr:rowOff>
    </xdr:to>
    <xdr:sp macro="[0]!Navegar" textlink="">
      <xdr:nvSpPr>
        <xdr:cNvPr id="19" name="nav_8">
          <a:extLst>
            <a:ext uri="{FF2B5EF4-FFF2-40B4-BE49-F238E27FC236}">
              <a16:creationId xmlns:a16="http://schemas.microsoft.com/office/drawing/2014/main" id="{09AD198B-33AE-A709-BCD3-69020282442E}"/>
            </a:ext>
          </a:extLst>
        </xdr:cNvPr>
        <xdr:cNvSpPr txBox="1"/>
      </xdr:nvSpPr>
      <xdr:spPr>
        <a:xfrm>
          <a:off x="7447280" y="609600"/>
          <a:ext cx="10922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Categorias</a:t>
          </a:r>
        </a:p>
      </xdr:txBody>
    </xdr:sp>
    <xdr:clientData/>
  </xdr:twoCellAnchor>
  <xdr:twoCellAnchor editAs="absolute">
    <xdr:from>
      <xdr:col>8</xdr:col>
      <xdr:colOff>160655</xdr:colOff>
      <xdr:row>1</xdr:row>
      <xdr:rowOff>69850</xdr:rowOff>
    </xdr:from>
    <xdr:to>
      <xdr:col>9</xdr:col>
      <xdr:colOff>328930</xdr:colOff>
      <xdr:row>1</xdr:row>
      <xdr:rowOff>323850</xdr:rowOff>
    </xdr:to>
    <xdr:sp macro="[0]!AtualizarPainel" textlink="">
      <xdr:nvSpPr>
        <xdr:cNvPr id="20" name="btAtualizarPainel19">
          <a:extLst>
            <a:ext uri="{FF2B5EF4-FFF2-40B4-BE49-F238E27FC236}">
              <a16:creationId xmlns:a16="http://schemas.microsoft.com/office/drawing/2014/main" id="{AF0A1E49-919C-3C59-AF08-528C75FC392A}"/>
            </a:ext>
          </a:extLst>
        </xdr:cNvPr>
        <xdr:cNvSpPr/>
      </xdr:nvSpPr>
      <xdr:spPr>
        <a:xfrm>
          <a:off x="8742680" y="622300"/>
          <a:ext cx="1016000" cy="254000"/>
        </a:xfrm>
        <a:prstGeom prst="roundRect">
          <a:avLst>
            <a:gd name="adj" fmla="val 20000"/>
          </a:avLst>
        </a:prstGeom>
        <a:solidFill>
          <a:srgbClr val="FFFFFF"/>
        </a:solidFill>
        <a:ln w="9525">
          <a:solidFill>
            <a:srgbClr val="E2E8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850" b="1">
              <a:solidFill>
                <a:srgbClr val="2A6FB8"/>
              </a:solidFill>
              <a:latin typeface="Segoe UI" panose="020B0502040204020203" pitchFamily="34" charset="0"/>
            </a:rPr>
            <a:t>Atualizar</a:t>
          </a:r>
        </a:p>
      </xdr:txBody>
    </xdr:sp>
    <xdr:clientData/>
  </xdr:twoCellAnchor>
  <xdr:twoCellAnchor editAs="absolute">
    <xdr:from>
      <xdr:col>0</xdr:col>
      <xdr:colOff>152400</xdr:colOff>
      <xdr:row>3</xdr:row>
      <xdr:rowOff>9525</xdr:rowOff>
    </xdr:from>
    <xdr:to>
      <xdr:col>2</xdr:col>
      <xdr:colOff>1749425</xdr:colOff>
      <xdr:row>7</xdr:row>
      <xdr:rowOff>34925</xdr:rowOff>
    </xdr:to>
    <xdr:sp macro="" textlink="">
      <xdr:nvSpPr>
        <xdr:cNvPr id="21" name="kpiCardc60">
          <a:extLst>
            <a:ext uri="{FF2B5EF4-FFF2-40B4-BE49-F238E27FC236}">
              <a16:creationId xmlns:a16="http://schemas.microsoft.com/office/drawing/2014/main" id="{E5CB2FFF-7200-46D0-D453-F149D8E81314}"/>
            </a:ext>
          </a:extLst>
        </xdr:cNvPr>
        <xdr:cNvSpPr/>
      </xdr:nvSpPr>
      <xdr:spPr>
        <a:xfrm>
          <a:off x="152400" y="1066800"/>
          <a:ext cx="2692400" cy="863600"/>
        </a:xfrm>
        <a:prstGeom prst="roundRect">
          <a:avLst>
            <a:gd name="adj" fmla="val 5000"/>
          </a:avLst>
        </a:prstGeom>
        <a:solidFill>
          <a:srgbClr val="FFFFFF"/>
        </a:solidFill>
        <a:ln w="9525">
          <a:solidFill>
            <a:srgbClr val="E2E8F0"/>
          </a:solidFill>
        </a:ln>
        <a:effectLst>
          <a:outerShdw blurRad="50800" dist="12700" dir="5400000" rotWithShape="0">
            <a:srgbClr val="000000">
              <a:alpha val="8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</xdr:col>
      <xdr:colOff>149225</xdr:colOff>
      <xdr:row>3</xdr:row>
      <xdr:rowOff>136525</xdr:rowOff>
    </xdr:from>
    <xdr:to>
      <xdr:col>2</xdr:col>
      <xdr:colOff>1571625</xdr:colOff>
      <xdr:row>4</xdr:row>
      <xdr:rowOff>92075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7EB39183-FA5F-0173-A539-9B6DFCC4DCD6}"/>
            </a:ext>
          </a:extLst>
        </xdr:cNvPr>
        <xdr:cNvSpPr txBox="1"/>
      </xdr:nvSpPr>
      <xdr:spPr>
        <a:xfrm>
          <a:off x="330200" y="1193800"/>
          <a:ext cx="2336800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r>
            <a:rPr lang="pt-BR" sz="750" b="1">
              <a:solidFill>
                <a:srgbClr val="64748B"/>
              </a:solidFill>
              <a:latin typeface="Segoe UI" panose="020B0502040204020203" pitchFamily="34" charset="0"/>
            </a:rPr>
            <a:t>EM ABERTO</a:t>
          </a:r>
        </a:p>
      </xdr:txBody>
    </xdr:sp>
    <xdr:clientData/>
  </xdr:twoCellAnchor>
  <xdr:twoCellAnchor editAs="absolute">
    <xdr:from>
      <xdr:col>1</xdr:col>
      <xdr:colOff>149225</xdr:colOff>
      <xdr:row>4</xdr:row>
      <xdr:rowOff>92075</xdr:rowOff>
    </xdr:from>
    <xdr:to>
      <xdr:col>2</xdr:col>
      <xdr:colOff>1571625</xdr:colOff>
      <xdr:row>6</xdr:row>
      <xdr:rowOff>28575</xdr:rowOff>
    </xdr:to>
    <xdr:sp macro="" textlink="Calc!$C$60">
      <xdr:nvSpPr>
        <xdr:cNvPr id="23" name="kpiValorc60">
          <a:extLst>
            <a:ext uri="{FF2B5EF4-FFF2-40B4-BE49-F238E27FC236}">
              <a16:creationId xmlns:a16="http://schemas.microsoft.com/office/drawing/2014/main" id="{3B5B9CCD-BB80-3089-AFC7-5C1E009A7110}"/>
            </a:ext>
          </a:extLst>
        </xdr:cNvPr>
        <xdr:cNvSpPr txBox="1"/>
      </xdr:nvSpPr>
      <xdr:spPr>
        <a:xfrm>
          <a:off x="330200" y="1358900"/>
          <a:ext cx="23368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85BA6586-2DB7-4E48-A563-B51D2853449E}" type="TxLink">
            <a:rPr lang="en-US" sz="1700" b="1" i="0" u="none" strike="noStrike">
              <a:solidFill>
                <a:srgbClr val="1A202C"/>
              </a:solidFill>
              <a:latin typeface="Segoe UI" panose="020B0502040204020203" pitchFamily="34" charset="0"/>
              <a:ea typeface="Calibri"/>
              <a:cs typeface="Calibri"/>
            </a:rPr>
            <a:pPr/>
            <a:t>R$ 0</a:t>
          </a:fld>
          <a:endParaRPr lang="pt-BR" sz="1700" b="1">
            <a:solidFill>
              <a:srgbClr val="1A202C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149225</xdr:colOff>
      <xdr:row>5</xdr:row>
      <xdr:rowOff>174625</xdr:rowOff>
    </xdr:from>
    <xdr:to>
      <xdr:col>2</xdr:col>
      <xdr:colOff>1571625</xdr:colOff>
      <xdr:row>6</xdr:row>
      <xdr:rowOff>130175</xdr:rowOff>
    </xdr:to>
    <xdr:sp macro="" textlink="Calc!$E$60">
      <xdr:nvSpPr>
        <xdr:cNvPr id="24" name="kpiDeltac60">
          <a:extLst>
            <a:ext uri="{FF2B5EF4-FFF2-40B4-BE49-F238E27FC236}">
              <a16:creationId xmlns:a16="http://schemas.microsoft.com/office/drawing/2014/main" id="{1019F342-155F-FEEE-E273-B8783284B1F5}"/>
            </a:ext>
          </a:extLst>
        </xdr:cNvPr>
        <xdr:cNvSpPr txBox="1"/>
      </xdr:nvSpPr>
      <xdr:spPr>
        <a:xfrm>
          <a:off x="330200" y="1651000"/>
          <a:ext cx="2336800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B8850C35-74DA-4C8D-9B03-2FF935542E46}" type="TxLink">
            <a:rPr lang="en-US" sz="800" b="0" i="0" u="none" strike="noStrike">
              <a:solidFill>
                <a:srgbClr val="2E7D32"/>
              </a:solidFill>
              <a:latin typeface="Segoe UI" panose="020B0502040204020203" pitchFamily="34" charset="0"/>
              <a:ea typeface="Calibri"/>
              <a:cs typeface="Calibri"/>
            </a:rPr>
            <a:pPr/>
            <a:t>Nenhuma conta em aberto</a:t>
          </a:fld>
          <a:endParaRPr lang="pt-BR" sz="800" b="0">
            <a:solidFill>
              <a:srgbClr val="2E7D32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1876425</xdr:colOff>
      <xdr:row>3</xdr:row>
      <xdr:rowOff>9525</xdr:rowOff>
    </xdr:from>
    <xdr:to>
      <xdr:col>4</xdr:col>
      <xdr:colOff>1606550</xdr:colOff>
      <xdr:row>7</xdr:row>
      <xdr:rowOff>34925</xdr:rowOff>
    </xdr:to>
    <xdr:sp macro="" textlink="">
      <xdr:nvSpPr>
        <xdr:cNvPr id="25" name="kpiCardc61">
          <a:extLst>
            <a:ext uri="{FF2B5EF4-FFF2-40B4-BE49-F238E27FC236}">
              <a16:creationId xmlns:a16="http://schemas.microsoft.com/office/drawing/2014/main" id="{538A25DA-4F31-2556-BCDB-DDE88026E786}"/>
            </a:ext>
          </a:extLst>
        </xdr:cNvPr>
        <xdr:cNvSpPr/>
      </xdr:nvSpPr>
      <xdr:spPr>
        <a:xfrm>
          <a:off x="2971800" y="1066800"/>
          <a:ext cx="2692400" cy="863600"/>
        </a:xfrm>
        <a:prstGeom prst="roundRect">
          <a:avLst>
            <a:gd name="adj" fmla="val 5000"/>
          </a:avLst>
        </a:prstGeom>
        <a:solidFill>
          <a:srgbClr val="FFFFFF"/>
        </a:solidFill>
        <a:ln w="9525">
          <a:solidFill>
            <a:srgbClr val="E2E8F0"/>
          </a:solidFill>
        </a:ln>
        <a:effectLst>
          <a:outerShdw blurRad="50800" dist="12700" dir="5400000" rotWithShape="0">
            <a:srgbClr val="000000">
              <a:alpha val="8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</xdr:col>
      <xdr:colOff>2054225</xdr:colOff>
      <xdr:row>3</xdr:row>
      <xdr:rowOff>136525</xdr:rowOff>
    </xdr:from>
    <xdr:to>
      <xdr:col>4</xdr:col>
      <xdr:colOff>1428750</xdr:colOff>
      <xdr:row>4</xdr:row>
      <xdr:rowOff>92075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73D04662-307E-98DD-F9BE-FA2C7A7D80C9}"/>
            </a:ext>
          </a:extLst>
        </xdr:cNvPr>
        <xdr:cNvSpPr txBox="1"/>
      </xdr:nvSpPr>
      <xdr:spPr>
        <a:xfrm>
          <a:off x="3149600" y="1193800"/>
          <a:ext cx="2336800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r>
            <a:rPr lang="pt-BR" sz="750" b="1">
              <a:solidFill>
                <a:srgbClr val="64748B"/>
              </a:solidFill>
              <a:latin typeface="Segoe UI" panose="020B0502040204020203" pitchFamily="34" charset="0"/>
            </a:rPr>
            <a:t>VENCIDAS</a:t>
          </a:r>
        </a:p>
      </xdr:txBody>
    </xdr:sp>
    <xdr:clientData/>
  </xdr:twoCellAnchor>
  <xdr:twoCellAnchor editAs="absolute">
    <xdr:from>
      <xdr:col>2</xdr:col>
      <xdr:colOff>2054225</xdr:colOff>
      <xdr:row>4</xdr:row>
      <xdr:rowOff>92075</xdr:rowOff>
    </xdr:from>
    <xdr:to>
      <xdr:col>4</xdr:col>
      <xdr:colOff>1428750</xdr:colOff>
      <xdr:row>6</xdr:row>
      <xdr:rowOff>28575</xdr:rowOff>
    </xdr:to>
    <xdr:sp macro="" textlink="Calc!$C$61">
      <xdr:nvSpPr>
        <xdr:cNvPr id="27" name="kpiValorc61">
          <a:extLst>
            <a:ext uri="{FF2B5EF4-FFF2-40B4-BE49-F238E27FC236}">
              <a16:creationId xmlns:a16="http://schemas.microsoft.com/office/drawing/2014/main" id="{C434BE59-600E-A718-B572-1D12E058DC49}"/>
            </a:ext>
          </a:extLst>
        </xdr:cNvPr>
        <xdr:cNvSpPr txBox="1"/>
      </xdr:nvSpPr>
      <xdr:spPr>
        <a:xfrm>
          <a:off x="3149600" y="1358900"/>
          <a:ext cx="23368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965BD4C5-9CF8-4C7C-9D79-E5B41DE6ED4D}" type="TxLink">
            <a:rPr lang="en-US" sz="1700" b="1" i="0" u="none" strike="noStrike">
              <a:solidFill>
                <a:srgbClr val="1A202C"/>
              </a:solidFill>
              <a:latin typeface="Segoe UI" panose="020B0502040204020203" pitchFamily="34" charset="0"/>
              <a:ea typeface="Calibri"/>
              <a:cs typeface="Calibri"/>
            </a:rPr>
            <a:pPr/>
            <a:t>R$ 0</a:t>
          </a:fld>
          <a:endParaRPr lang="pt-BR" sz="1700" b="1">
            <a:solidFill>
              <a:srgbClr val="1A202C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2054225</xdr:colOff>
      <xdr:row>5</xdr:row>
      <xdr:rowOff>174625</xdr:rowOff>
    </xdr:from>
    <xdr:to>
      <xdr:col>4</xdr:col>
      <xdr:colOff>1428750</xdr:colOff>
      <xdr:row>6</xdr:row>
      <xdr:rowOff>130175</xdr:rowOff>
    </xdr:to>
    <xdr:sp macro="" textlink="Calc!$E$61">
      <xdr:nvSpPr>
        <xdr:cNvPr id="28" name="kpiDeltac61">
          <a:extLst>
            <a:ext uri="{FF2B5EF4-FFF2-40B4-BE49-F238E27FC236}">
              <a16:creationId xmlns:a16="http://schemas.microsoft.com/office/drawing/2014/main" id="{FA8CA4AF-F558-C21D-4588-7B9083B1ACFB}"/>
            </a:ext>
          </a:extLst>
        </xdr:cNvPr>
        <xdr:cNvSpPr txBox="1"/>
      </xdr:nvSpPr>
      <xdr:spPr>
        <a:xfrm>
          <a:off x="3149600" y="1651000"/>
          <a:ext cx="2336800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21BCC59D-36AB-4C7C-BB16-ABA353052FD7}" type="TxLink">
            <a:rPr lang="en-US" sz="800" b="0" i="0" u="none" strike="noStrike">
              <a:solidFill>
                <a:srgbClr val="2E7D32"/>
              </a:solidFill>
              <a:latin typeface="Segoe UI" panose="020B0502040204020203" pitchFamily="34" charset="0"/>
              <a:ea typeface="Calibri"/>
              <a:cs typeface="Calibri"/>
            </a:rPr>
            <a:pPr/>
            <a:t>0 conta(s)</a:t>
          </a:fld>
          <a:endParaRPr lang="pt-BR" sz="800" b="0">
            <a:solidFill>
              <a:srgbClr val="2E7D32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4</xdr:col>
      <xdr:colOff>1733550</xdr:colOff>
      <xdr:row>3</xdr:row>
      <xdr:rowOff>9525</xdr:rowOff>
    </xdr:from>
    <xdr:to>
      <xdr:col>7</xdr:col>
      <xdr:colOff>682625</xdr:colOff>
      <xdr:row>7</xdr:row>
      <xdr:rowOff>34925</xdr:rowOff>
    </xdr:to>
    <xdr:sp macro="" textlink="">
      <xdr:nvSpPr>
        <xdr:cNvPr id="29" name="kpiCardc63">
          <a:extLst>
            <a:ext uri="{FF2B5EF4-FFF2-40B4-BE49-F238E27FC236}">
              <a16:creationId xmlns:a16="http://schemas.microsoft.com/office/drawing/2014/main" id="{F9B94143-C3EE-D4A7-E6AC-75C7A5B5C393}"/>
            </a:ext>
          </a:extLst>
        </xdr:cNvPr>
        <xdr:cNvSpPr/>
      </xdr:nvSpPr>
      <xdr:spPr>
        <a:xfrm>
          <a:off x="5791200" y="1066800"/>
          <a:ext cx="2692400" cy="863600"/>
        </a:xfrm>
        <a:prstGeom prst="roundRect">
          <a:avLst>
            <a:gd name="adj" fmla="val 5000"/>
          </a:avLst>
        </a:prstGeom>
        <a:solidFill>
          <a:srgbClr val="FFFFFF"/>
        </a:solidFill>
        <a:ln w="9525">
          <a:solidFill>
            <a:srgbClr val="E2E8F0"/>
          </a:solidFill>
        </a:ln>
        <a:effectLst>
          <a:outerShdw blurRad="50800" dist="12700" dir="5400000" rotWithShape="0">
            <a:srgbClr val="000000">
              <a:alpha val="8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4</xdr:col>
      <xdr:colOff>1911350</xdr:colOff>
      <xdr:row>3</xdr:row>
      <xdr:rowOff>136525</xdr:rowOff>
    </xdr:from>
    <xdr:to>
      <xdr:col>7</xdr:col>
      <xdr:colOff>504825</xdr:colOff>
      <xdr:row>4</xdr:row>
      <xdr:rowOff>92075</xdr:rowOff>
    </xdr:to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F47A4857-F3A2-DE19-B2D7-AB91113B7466}"/>
            </a:ext>
          </a:extLst>
        </xdr:cNvPr>
        <xdr:cNvSpPr txBox="1"/>
      </xdr:nvSpPr>
      <xdr:spPr>
        <a:xfrm>
          <a:off x="5969000" y="1193800"/>
          <a:ext cx="2336800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r>
            <a:rPr lang="pt-BR" sz="750" b="1">
              <a:solidFill>
                <a:srgbClr val="64748B"/>
              </a:solidFill>
              <a:latin typeface="Segoe UI" panose="020B0502040204020203" pitchFamily="34" charset="0"/>
            </a:rPr>
            <a:t>VENCEM EM 7 DIAS</a:t>
          </a:r>
        </a:p>
      </xdr:txBody>
    </xdr:sp>
    <xdr:clientData/>
  </xdr:twoCellAnchor>
  <xdr:twoCellAnchor editAs="absolute">
    <xdr:from>
      <xdr:col>4</xdr:col>
      <xdr:colOff>1911350</xdr:colOff>
      <xdr:row>4</xdr:row>
      <xdr:rowOff>92075</xdr:rowOff>
    </xdr:from>
    <xdr:to>
      <xdr:col>7</xdr:col>
      <xdr:colOff>504825</xdr:colOff>
      <xdr:row>6</xdr:row>
      <xdr:rowOff>28575</xdr:rowOff>
    </xdr:to>
    <xdr:sp macro="" textlink="Calc!$C$63">
      <xdr:nvSpPr>
        <xdr:cNvPr id="31" name="kpiValorc63">
          <a:extLst>
            <a:ext uri="{FF2B5EF4-FFF2-40B4-BE49-F238E27FC236}">
              <a16:creationId xmlns:a16="http://schemas.microsoft.com/office/drawing/2014/main" id="{BF6BAFEA-080B-A1B4-297D-705A12966310}"/>
            </a:ext>
          </a:extLst>
        </xdr:cNvPr>
        <xdr:cNvSpPr txBox="1"/>
      </xdr:nvSpPr>
      <xdr:spPr>
        <a:xfrm>
          <a:off x="5969000" y="1358900"/>
          <a:ext cx="23368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61222C99-CAFA-4181-A7B3-72F1D007F8E4}" type="TxLink">
            <a:rPr lang="en-US" sz="1700" b="1" i="0" u="none" strike="noStrike">
              <a:solidFill>
                <a:srgbClr val="1A202C"/>
              </a:solidFill>
              <a:latin typeface="Segoe UI" panose="020B0502040204020203" pitchFamily="34" charset="0"/>
              <a:ea typeface="Calibri"/>
              <a:cs typeface="Calibri"/>
            </a:rPr>
            <a:pPr/>
            <a:t>R$ 0</a:t>
          </a:fld>
          <a:endParaRPr lang="pt-BR" sz="1700" b="1">
            <a:solidFill>
              <a:srgbClr val="1A202C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4</xdr:col>
      <xdr:colOff>1911350</xdr:colOff>
      <xdr:row>5</xdr:row>
      <xdr:rowOff>174625</xdr:rowOff>
    </xdr:from>
    <xdr:to>
      <xdr:col>7</xdr:col>
      <xdr:colOff>504825</xdr:colOff>
      <xdr:row>6</xdr:row>
      <xdr:rowOff>130175</xdr:rowOff>
    </xdr:to>
    <xdr:sp macro="" textlink="Calc!$E$63">
      <xdr:nvSpPr>
        <xdr:cNvPr id="32" name="kpiDeltac63">
          <a:extLst>
            <a:ext uri="{FF2B5EF4-FFF2-40B4-BE49-F238E27FC236}">
              <a16:creationId xmlns:a16="http://schemas.microsoft.com/office/drawing/2014/main" id="{8414C04C-C410-7D36-C448-BE8E7780FCA7}"/>
            </a:ext>
          </a:extLst>
        </xdr:cNvPr>
        <xdr:cNvSpPr txBox="1"/>
      </xdr:nvSpPr>
      <xdr:spPr>
        <a:xfrm>
          <a:off x="5969000" y="1651000"/>
          <a:ext cx="2336800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0EED0AA3-1D8A-4916-A17D-5D91571B00C2}" type="TxLink">
            <a:rPr lang="en-US" sz="800" b="0" i="0" u="none" strike="noStrike">
              <a:solidFill>
                <a:srgbClr val="2E7D32"/>
              </a:solidFill>
              <a:latin typeface="Segoe UI" panose="020B0502040204020203" pitchFamily="34" charset="0"/>
              <a:ea typeface="Calibri"/>
              <a:cs typeface="Calibri"/>
            </a:rPr>
            <a:pPr/>
            <a:t>0 conta(s)</a:t>
          </a:fld>
          <a:endParaRPr lang="pt-BR" sz="800" b="0">
            <a:solidFill>
              <a:srgbClr val="2E7D32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8</xdr:col>
      <xdr:colOff>28575</xdr:colOff>
      <xdr:row>3</xdr:row>
      <xdr:rowOff>9525</xdr:rowOff>
    </xdr:from>
    <xdr:to>
      <xdr:col>11</xdr:col>
      <xdr:colOff>82550</xdr:colOff>
      <xdr:row>7</xdr:row>
      <xdr:rowOff>34925</xdr:rowOff>
    </xdr:to>
    <xdr:sp macro="" textlink="">
      <xdr:nvSpPr>
        <xdr:cNvPr id="33" name="kpiCardc65">
          <a:extLst>
            <a:ext uri="{FF2B5EF4-FFF2-40B4-BE49-F238E27FC236}">
              <a16:creationId xmlns:a16="http://schemas.microsoft.com/office/drawing/2014/main" id="{9E60DC2C-6096-DFD7-8345-C05546B66361}"/>
            </a:ext>
          </a:extLst>
        </xdr:cNvPr>
        <xdr:cNvSpPr/>
      </xdr:nvSpPr>
      <xdr:spPr>
        <a:xfrm>
          <a:off x="8610600" y="1066800"/>
          <a:ext cx="2692400" cy="863600"/>
        </a:xfrm>
        <a:prstGeom prst="roundRect">
          <a:avLst>
            <a:gd name="adj" fmla="val 5000"/>
          </a:avLst>
        </a:prstGeom>
        <a:solidFill>
          <a:srgbClr val="FFFFFF"/>
        </a:solidFill>
        <a:ln w="9525">
          <a:solidFill>
            <a:srgbClr val="E2E8F0"/>
          </a:solidFill>
        </a:ln>
        <a:effectLst>
          <a:outerShdw blurRad="50800" dist="12700" dir="5400000" rotWithShape="0">
            <a:srgbClr val="000000">
              <a:alpha val="8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8</xdr:col>
      <xdr:colOff>206375</xdr:colOff>
      <xdr:row>3</xdr:row>
      <xdr:rowOff>136525</xdr:rowOff>
    </xdr:from>
    <xdr:to>
      <xdr:col>10</xdr:col>
      <xdr:colOff>514350</xdr:colOff>
      <xdr:row>4</xdr:row>
      <xdr:rowOff>92075</xdr:rowOff>
    </xdr:to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10C7F741-95ED-CB2E-30FD-31C0E03126C4}"/>
            </a:ext>
          </a:extLst>
        </xdr:cNvPr>
        <xdr:cNvSpPr txBox="1"/>
      </xdr:nvSpPr>
      <xdr:spPr>
        <a:xfrm>
          <a:off x="8788400" y="1193800"/>
          <a:ext cx="2336800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r>
            <a:rPr lang="pt-BR" sz="750" b="1">
              <a:solidFill>
                <a:srgbClr val="64748B"/>
              </a:solidFill>
              <a:latin typeface="Segoe UI" panose="020B0502040204020203" pitchFamily="34" charset="0"/>
            </a:rPr>
            <a:t>PAGAS</a:t>
          </a:r>
        </a:p>
      </xdr:txBody>
    </xdr:sp>
    <xdr:clientData/>
  </xdr:twoCellAnchor>
  <xdr:twoCellAnchor editAs="absolute">
    <xdr:from>
      <xdr:col>8</xdr:col>
      <xdr:colOff>206375</xdr:colOff>
      <xdr:row>4</xdr:row>
      <xdr:rowOff>92075</xdr:rowOff>
    </xdr:from>
    <xdr:to>
      <xdr:col>10</xdr:col>
      <xdr:colOff>514350</xdr:colOff>
      <xdr:row>6</xdr:row>
      <xdr:rowOff>28575</xdr:rowOff>
    </xdr:to>
    <xdr:sp macro="" textlink="Calc!$C$65">
      <xdr:nvSpPr>
        <xdr:cNvPr id="35" name="kpiValorc65">
          <a:extLst>
            <a:ext uri="{FF2B5EF4-FFF2-40B4-BE49-F238E27FC236}">
              <a16:creationId xmlns:a16="http://schemas.microsoft.com/office/drawing/2014/main" id="{B08D41A3-760E-F56A-D16B-99284E761A43}"/>
            </a:ext>
          </a:extLst>
        </xdr:cNvPr>
        <xdr:cNvSpPr txBox="1"/>
      </xdr:nvSpPr>
      <xdr:spPr>
        <a:xfrm>
          <a:off x="8788400" y="1358900"/>
          <a:ext cx="23368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5E317EAC-988B-4672-B309-1A36F1625B7B}" type="TxLink">
            <a:rPr lang="en-US" sz="1700" b="1" i="0" u="none" strike="noStrike">
              <a:solidFill>
                <a:srgbClr val="1A202C"/>
              </a:solidFill>
              <a:latin typeface="Segoe UI" panose="020B0502040204020203" pitchFamily="34" charset="0"/>
              <a:ea typeface="Calibri"/>
              <a:cs typeface="Calibri"/>
            </a:rPr>
            <a:pPr/>
            <a:t>R$ 0</a:t>
          </a:fld>
          <a:endParaRPr lang="pt-BR" sz="1700" b="1">
            <a:solidFill>
              <a:srgbClr val="1A202C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8</xdr:col>
      <xdr:colOff>206375</xdr:colOff>
      <xdr:row>5</xdr:row>
      <xdr:rowOff>174625</xdr:rowOff>
    </xdr:from>
    <xdr:to>
      <xdr:col>10</xdr:col>
      <xdr:colOff>514350</xdr:colOff>
      <xdr:row>6</xdr:row>
      <xdr:rowOff>130175</xdr:rowOff>
    </xdr:to>
    <xdr:sp macro="" textlink="Calc!$E$65">
      <xdr:nvSpPr>
        <xdr:cNvPr id="36" name="kpiDeltac65">
          <a:extLst>
            <a:ext uri="{FF2B5EF4-FFF2-40B4-BE49-F238E27FC236}">
              <a16:creationId xmlns:a16="http://schemas.microsoft.com/office/drawing/2014/main" id="{2F666438-8AE9-6ED7-6CB5-DBAE24FD8479}"/>
            </a:ext>
          </a:extLst>
        </xdr:cNvPr>
        <xdr:cNvSpPr txBox="1"/>
      </xdr:nvSpPr>
      <xdr:spPr>
        <a:xfrm>
          <a:off x="8788400" y="1651000"/>
          <a:ext cx="2336800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B2BEF5AE-13A7-4173-8216-BF327C306BAC}" type="TxLink">
            <a:rPr lang="en-US" sz="800" b="0" i="0" u="none" strike="noStrike">
              <a:solidFill>
                <a:srgbClr val="64748B"/>
              </a:solidFill>
              <a:latin typeface="Segoe UI" panose="020B0502040204020203" pitchFamily="34" charset="0"/>
              <a:ea typeface="Calibri"/>
              <a:cs typeface="Calibri"/>
            </a:rPr>
            <a:pPr/>
            <a:t>0 paga(s) no exercício</a:t>
          </a:fld>
          <a:endParaRPr lang="pt-BR" sz="800" b="0">
            <a:solidFill>
              <a:srgbClr val="64748B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76200</xdr:colOff>
      <xdr:row>8</xdr:row>
      <xdr:rowOff>0</xdr:rowOff>
    </xdr:from>
    <xdr:to>
      <xdr:col>2</xdr:col>
      <xdr:colOff>1981200</xdr:colOff>
      <xdr:row>9</xdr:row>
      <xdr:rowOff>6350</xdr:rowOff>
    </xdr:to>
    <xdr:sp macro="[0]!GerarContasMes" textlink="">
      <xdr:nvSpPr>
        <xdr:cNvPr id="37" name="btGerarContasMes36">
          <a:extLst>
            <a:ext uri="{FF2B5EF4-FFF2-40B4-BE49-F238E27FC236}">
              <a16:creationId xmlns:a16="http://schemas.microsoft.com/office/drawing/2014/main" id="{351BDD39-C6E7-8BF5-96DB-E088C7F1B584}"/>
            </a:ext>
          </a:extLst>
        </xdr:cNvPr>
        <xdr:cNvSpPr/>
      </xdr:nvSpPr>
      <xdr:spPr>
        <a:xfrm>
          <a:off x="1171575" y="2095500"/>
          <a:ext cx="1905000" cy="330200"/>
        </a:xfrm>
        <a:prstGeom prst="roundRect">
          <a:avLst>
            <a:gd name="adj" fmla="val 20000"/>
          </a:avLst>
        </a:prstGeom>
        <a:solidFill>
          <a:srgbClr val="2A6FB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900" b="1">
              <a:solidFill>
                <a:srgbClr val="FFFFFF"/>
              </a:solidFill>
              <a:latin typeface="Segoe UI" panose="020B0502040204020203" pitchFamily="34" charset="0"/>
            </a:rPr>
            <a:t>Gerar contas do mês</a:t>
          </a:r>
        </a:p>
      </xdr:txBody>
    </xdr:sp>
    <xdr:clientData/>
  </xdr:twoCellAnchor>
  <xdr:twoCellAnchor editAs="absolute">
    <xdr:from>
      <xdr:col>2</xdr:col>
      <xdr:colOff>2082800</xdr:colOff>
      <xdr:row>8</xdr:row>
      <xdr:rowOff>0</xdr:rowOff>
    </xdr:from>
    <xdr:to>
      <xdr:col>4</xdr:col>
      <xdr:colOff>1025525</xdr:colOff>
      <xdr:row>9</xdr:row>
      <xdr:rowOff>6350</xdr:rowOff>
    </xdr:to>
    <xdr:sp macro="[0]!PagarSelecionadas" textlink="">
      <xdr:nvSpPr>
        <xdr:cNvPr id="38" name="btPagarSelecionadas37">
          <a:extLst>
            <a:ext uri="{FF2B5EF4-FFF2-40B4-BE49-F238E27FC236}">
              <a16:creationId xmlns:a16="http://schemas.microsoft.com/office/drawing/2014/main" id="{2FBE437B-5566-6E12-8110-43F82D3165F3}"/>
            </a:ext>
          </a:extLst>
        </xdr:cNvPr>
        <xdr:cNvSpPr/>
      </xdr:nvSpPr>
      <xdr:spPr>
        <a:xfrm>
          <a:off x="3178175" y="2095500"/>
          <a:ext cx="1905000" cy="330200"/>
        </a:xfrm>
        <a:prstGeom prst="roundRect">
          <a:avLst>
            <a:gd name="adj" fmla="val 20000"/>
          </a:avLst>
        </a:prstGeom>
        <a:solidFill>
          <a:srgbClr val="11917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900" b="1">
              <a:solidFill>
                <a:srgbClr val="FFFFFF"/>
              </a:solidFill>
              <a:latin typeface="Segoe UI" panose="020B0502040204020203" pitchFamily="34" charset="0"/>
            </a:rPr>
            <a:t>Pagar selecionadas</a:t>
          </a:r>
        </a:p>
      </xdr:txBody>
    </xdr:sp>
    <xdr:clientData/>
  </xdr:twoCellAnchor>
  <xdr:twoCellAnchor editAs="absolute">
    <xdr:from>
      <xdr:col>4</xdr:col>
      <xdr:colOff>1127125</xdr:colOff>
      <xdr:row>8</xdr:row>
      <xdr:rowOff>0</xdr:rowOff>
    </xdr:from>
    <xdr:to>
      <xdr:col>5</xdr:col>
      <xdr:colOff>482600</xdr:colOff>
      <xdr:row>9</xdr:row>
      <xdr:rowOff>6350</xdr:rowOff>
    </xdr:to>
    <xdr:sp macro="[0]!NovaConta" textlink="">
      <xdr:nvSpPr>
        <xdr:cNvPr id="39" name="btNovaConta38">
          <a:extLst>
            <a:ext uri="{FF2B5EF4-FFF2-40B4-BE49-F238E27FC236}">
              <a16:creationId xmlns:a16="http://schemas.microsoft.com/office/drawing/2014/main" id="{340561CF-3F79-FBC6-3F89-E10717F915E6}"/>
            </a:ext>
          </a:extLst>
        </xdr:cNvPr>
        <xdr:cNvSpPr/>
      </xdr:nvSpPr>
      <xdr:spPr>
        <a:xfrm>
          <a:off x="5184775" y="2095500"/>
          <a:ext cx="1270000" cy="330200"/>
        </a:xfrm>
        <a:prstGeom prst="roundRect">
          <a:avLst>
            <a:gd name="adj" fmla="val 20000"/>
          </a:avLst>
        </a:prstGeom>
        <a:solidFill>
          <a:srgbClr val="FFFFFF"/>
        </a:solidFill>
        <a:ln w="9525">
          <a:solidFill>
            <a:srgbClr val="E2E8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900" b="1">
              <a:solidFill>
                <a:srgbClr val="1A202C"/>
              </a:solidFill>
              <a:latin typeface="Segoe UI" panose="020B0502040204020203" pitchFamily="34" charset="0"/>
            </a:rPr>
            <a:t>Nova conta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20</xdr:col>
      <xdr:colOff>419100</xdr:colOff>
      <xdr:row>1</xdr:row>
      <xdr:rowOff>6350</xdr:rowOff>
    </xdr:to>
    <xdr:sp macro="" textlink="">
      <xdr:nvSpPr>
        <xdr:cNvPr id="2" name="cabFundo">
          <a:extLst>
            <a:ext uri="{FF2B5EF4-FFF2-40B4-BE49-F238E27FC236}">
              <a16:creationId xmlns:a16="http://schemas.microsoft.com/office/drawing/2014/main" id="{C4E4F8FA-646A-1367-599E-7C3D974EAF88}"/>
            </a:ext>
          </a:extLst>
        </xdr:cNvPr>
        <xdr:cNvSpPr/>
      </xdr:nvSpPr>
      <xdr:spPr>
        <a:xfrm>
          <a:off x="0" y="0"/>
          <a:ext cx="16192500" cy="558800"/>
        </a:xfrm>
        <a:prstGeom prst="rect">
          <a:avLst/>
        </a:prstGeom>
        <a:solidFill>
          <a:srgbClr val="0B1F3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</xdr:col>
      <xdr:colOff>47625</xdr:colOff>
      <xdr:row>0</xdr:row>
      <xdr:rowOff>76200</xdr:rowOff>
    </xdr:from>
    <xdr:to>
      <xdr:col>4</xdr:col>
      <xdr:colOff>180975</xdr:colOff>
      <xdr:row>0</xdr:row>
      <xdr:rowOff>330200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D81D9CE7-094B-AB54-2FDC-91B0E6F55CA7}"/>
            </a:ext>
          </a:extLst>
        </xdr:cNvPr>
        <xdr:cNvSpPr txBox="1"/>
      </xdr:nvSpPr>
      <xdr:spPr>
        <a:xfrm>
          <a:off x="228600" y="76200"/>
          <a:ext cx="3810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r>
            <a:rPr lang="pt-BR" sz="1400" b="1">
              <a:solidFill>
                <a:srgbClr val="FFFFFF"/>
              </a:solidFill>
              <a:latin typeface="Segoe UI" panose="020B0502040204020203" pitchFamily="34" charset="0"/>
            </a:rPr>
            <a:t>Casa Organizada</a:t>
          </a:r>
        </a:p>
      </xdr:txBody>
    </xdr:sp>
    <xdr:clientData/>
  </xdr:twoCellAnchor>
  <xdr:twoCellAnchor editAs="absolute">
    <xdr:from>
      <xdr:col>1</xdr:col>
      <xdr:colOff>47625</xdr:colOff>
      <xdr:row>0</xdr:row>
      <xdr:rowOff>330200</xdr:rowOff>
    </xdr:from>
    <xdr:to>
      <xdr:col>4</xdr:col>
      <xdr:colOff>180975</xdr:colOff>
      <xdr:row>0</xdr:row>
      <xdr:rowOff>482600</xdr:rowOff>
    </xdr:to>
    <xdr:sp macro="" textlink="Calc!$C$58">
      <xdr:nvSpPr>
        <xdr:cNvPr id="4" name="cabPeriodo">
          <a:extLst>
            <a:ext uri="{FF2B5EF4-FFF2-40B4-BE49-F238E27FC236}">
              <a16:creationId xmlns:a16="http://schemas.microsoft.com/office/drawing/2014/main" id="{45544BD7-91BB-3F54-9021-0F7DAF35215B}"/>
            </a:ext>
          </a:extLst>
        </xdr:cNvPr>
        <xdr:cNvSpPr txBox="1"/>
      </xdr:nvSpPr>
      <xdr:spPr>
        <a:xfrm>
          <a:off x="228600" y="330200"/>
          <a:ext cx="38100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813E76F8-19AF-4D1B-88A6-63AE77E7EE4D}" type="TxLink">
            <a:rPr lang="en-US" sz="850" b="0" i="0" u="none" strike="noStrike">
              <a:solidFill>
                <a:srgbClr val="A5B4C8"/>
              </a:solidFill>
              <a:latin typeface="Segoe UI" panose="020B0502040204020203" pitchFamily="34" charset="0"/>
              <a:ea typeface="Calibri"/>
              <a:cs typeface="Calibri"/>
            </a:rPr>
            <a:pPr/>
            <a:t>JAN de 2025</a:t>
          </a:fld>
          <a:endParaRPr lang="pt-BR" sz="850" b="0">
            <a:solidFill>
              <a:srgbClr val="A5B4C8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3</xdr:col>
      <xdr:colOff>298450</xdr:colOff>
      <xdr:row>0</xdr:row>
      <xdr:rowOff>203200</xdr:rowOff>
    </xdr:from>
    <xdr:to>
      <xdr:col>6</xdr:col>
      <xdr:colOff>790575</xdr:colOff>
      <xdr:row>0</xdr:row>
      <xdr:rowOff>381000</xdr:rowOff>
    </xdr:to>
    <xdr:sp macro="" textlink="Calc!$C$56">
      <xdr:nvSpPr>
        <xdr:cNvPr id="5" name="chipStatus">
          <a:extLst>
            <a:ext uri="{FF2B5EF4-FFF2-40B4-BE49-F238E27FC236}">
              <a16:creationId xmlns:a16="http://schemas.microsoft.com/office/drawing/2014/main" id="{F5DD3771-017C-8DB7-9648-1C0A6077095C}"/>
            </a:ext>
          </a:extLst>
        </xdr:cNvPr>
        <xdr:cNvSpPr txBox="1"/>
      </xdr:nvSpPr>
      <xdr:spPr>
        <a:xfrm>
          <a:off x="3175000" y="203200"/>
          <a:ext cx="330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E0BBB4D7-6D52-4F31-A4F7-4BD6B370947E}" type="TxLink">
            <a:rPr lang="en-US" sz="900" b="1" i="0" u="none" strike="noStrike">
              <a:solidFill>
                <a:srgbClr val="86EFAC"/>
              </a:solidFill>
              <a:latin typeface="Segoe UI" panose="020B0502040204020203" pitchFamily="34" charset="0"/>
              <a:ea typeface="Calibri"/>
              <a:cs typeface="Calibri"/>
            </a:rPr>
            <a:pPr/>
            <a:t>✓ Dados consistentes</a:t>
          </a:fld>
          <a:endParaRPr lang="pt-BR" sz="900" b="1">
            <a:solidFill>
              <a:srgbClr val="86EFAC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9</xdr:col>
      <xdr:colOff>768350</xdr:colOff>
      <xdr:row>0</xdr:row>
      <xdr:rowOff>114300</xdr:rowOff>
    </xdr:from>
    <xdr:to>
      <xdr:col>12</xdr:col>
      <xdr:colOff>177800</xdr:colOff>
      <xdr:row>0</xdr:row>
      <xdr:rowOff>444500</xdr:rowOff>
    </xdr:to>
    <xdr:sp macro="[0]!IrCadastro" textlink="">
      <xdr:nvSpPr>
        <xdr:cNvPr id="6" name="btIrCadastro5">
          <a:extLst>
            <a:ext uri="{FF2B5EF4-FFF2-40B4-BE49-F238E27FC236}">
              <a16:creationId xmlns:a16="http://schemas.microsoft.com/office/drawing/2014/main" id="{61FCA74D-0B25-F13D-67A3-AD3B11C05BD8}"/>
            </a:ext>
          </a:extLst>
        </xdr:cNvPr>
        <xdr:cNvSpPr/>
      </xdr:nvSpPr>
      <xdr:spPr>
        <a:xfrm>
          <a:off x="9398000" y="114300"/>
          <a:ext cx="1676400" cy="330200"/>
        </a:xfrm>
        <a:prstGeom prst="roundRect">
          <a:avLst>
            <a:gd name="adj" fmla="val 20000"/>
          </a:avLst>
        </a:prstGeom>
        <a:solidFill>
          <a:srgbClr val="C9A22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950" b="1">
              <a:solidFill>
                <a:srgbClr val="0B1F3A"/>
              </a:solidFill>
              <a:latin typeface="Segoe UI" panose="020B0502040204020203" pitchFamily="34" charset="0"/>
            </a:rPr>
            <a:t>+ Lançar gasto</a:t>
          </a:r>
        </a:p>
      </xdr:txBody>
    </xdr:sp>
    <xdr:clientData/>
  </xdr:twoCellAnchor>
  <xdr:twoCellAnchor editAs="absolute">
    <xdr:from>
      <xdr:col>0</xdr:col>
      <xdr:colOff>0</xdr:colOff>
      <xdr:row>1</xdr:row>
      <xdr:rowOff>6350</xdr:rowOff>
    </xdr:from>
    <xdr:to>
      <xdr:col>20</xdr:col>
      <xdr:colOff>419100</xdr:colOff>
      <xdr:row>2</xdr:row>
      <xdr:rowOff>6350</xdr:rowOff>
    </xdr:to>
    <xdr:sp macro="" textlink="">
      <xdr:nvSpPr>
        <xdr:cNvPr id="7" name="navFundo">
          <a:extLst>
            <a:ext uri="{FF2B5EF4-FFF2-40B4-BE49-F238E27FC236}">
              <a16:creationId xmlns:a16="http://schemas.microsoft.com/office/drawing/2014/main" id="{FDE2B8F5-C1CC-C6A3-B10F-BD05DDB4F8DD}"/>
            </a:ext>
          </a:extLst>
        </xdr:cNvPr>
        <xdr:cNvSpPr/>
      </xdr:nvSpPr>
      <xdr:spPr>
        <a:xfrm>
          <a:off x="0" y="558800"/>
          <a:ext cx="16192500" cy="3810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0</xdr:colOff>
      <xdr:row>2</xdr:row>
      <xdr:rowOff>6350</xdr:rowOff>
    </xdr:from>
    <xdr:to>
      <xdr:col>20</xdr:col>
      <xdr:colOff>419100</xdr:colOff>
      <xdr:row>2</xdr:row>
      <xdr:rowOff>6350</xdr:rowOff>
    </xdr:to>
    <xdr:cxnSp macro="">
      <xdr:nvCxnSpPr>
        <xdr:cNvPr id="8" name="navLinha">
          <a:extLst>
            <a:ext uri="{FF2B5EF4-FFF2-40B4-BE49-F238E27FC236}">
              <a16:creationId xmlns:a16="http://schemas.microsoft.com/office/drawing/2014/main" id="{722E7EAC-AD87-B739-4CF5-1964B0B0460C}"/>
            </a:ext>
          </a:extLst>
        </xdr:cNvPr>
        <xdr:cNvCxnSpPr/>
      </xdr:nvCxnSpPr>
      <xdr:spPr>
        <a:xfrm>
          <a:off x="0" y="939800"/>
          <a:ext cx="16192500" cy="0"/>
        </a:xfrm>
        <a:prstGeom prst="line">
          <a:avLst/>
        </a:prstGeom>
        <a:ln>
          <a:solidFill>
            <a:srgbClr val="E2E8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152400</xdr:colOff>
      <xdr:row>1</xdr:row>
      <xdr:rowOff>57150</xdr:rowOff>
    </xdr:from>
    <xdr:to>
      <xdr:col>1</xdr:col>
      <xdr:colOff>738505</xdr:colOff>
      <xdr:row>1</xdr:row>
      <xdr:rowOff>361950</xdr:rowOff>
    </xdr:to>
    <xdr:sp macro="[0]!Navegar" textlink="">
      <xdr:nvSpPr>
        <xdr:cNvPr id="9" name="nav_0">
          <a:extLst>
            <a:ext uri="{FF2B5EF4-FFF2-40B4-BE49-F238E27FC236}">
              <a16:creationId xmlns:a16="http://schemas.microsoft.com/office/drawing/2014/main" id="{442E78F6-22BD-C491-20C6-6359D10CE891}"/>
            </a:ext>
          </a:extLst>
        </xdr:cNvPr>
        <xdr:cNvSpPr txBox="1"/>
      </xdr:nvSpPr>
      <xdr:spPr>
        <a:xfrm>
          <a:off x="15240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Painel</a:t>
          </a:r>
        </a:p>
      </xdr:txBody>
    </xdr:sp>
    <xdr:clientData/>
  </xdr:twoCellAnchor>
  <xdr:twoCellAnchor editAs="absolute">
    <xdr:from>
      <xdr:col>1</xdr:col>
      <xdr:colOff>789305</xdr:colOff>
      <xdr:row>1</xdr:row>
      <xdr:rowOff>57150</xdr:rowOff>
    </xdr:from>
    <xdr:to>
      <xdr:col>1</xdr:col>
      <xdr:colOff>1637665</xdr:colOff>
      <xdr:row>1</xdr:row>
      <xdr:rowOff>361950</xdr:rowOff>
    </xdr:to>
    <xdr:sp macro="[0]!Navegar" textlink="">
      <xdr:nvSpPr>
        <xdr:cNvPr id="10" name="nav_1">
          <a:extLst>
            <a:ext uri="{FF2B5EF4-FFF2-40B4-BE49-F238E27FC236}">
              <a16:creationId xmlns:a16="http://schemas.microsoft.com/office/drawing/2014/main" id="{C1EC6EB0-DA55-340D-A8FD-B8CED8A1F244}"/>
            </a:ext>
          </a:extLst>
        </xdr:cNvPr>
        <xdr:cNvSpPr txBox="1"/>
      </xdr:nvSpPr>
      <xdr:spPr>
        <a:xfrm>
          <a:off x="970280" y="609600"/>
          <a:ext cx="84836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Análise</a:t>
          </a:r>
        </a:p>
      </xdr:txBody>
    </xdr:sp>
    <xdr:clientData/>
  </xdr:twoCellAnchor>
  <xdr:twoCellAnchor editAs="absolute">
    <xdr:from>
      <xdr:col>1</xdr:col>
      <xdr:colOff>1688465</xdr:colOff>
      <xdr:row>1</xdr:row>
      <xdr:rowOff>57150</xdr:rowOff>
    </xdr:from>
    <xdr:to>
      <xdr:col>2</xdr:col>
      <xdr:colOff>407670</xdr:colOff>
      <xdr:row>1</xdr:row>
      <xdr:rowOff>361950</xdr:rowOff>
    </xdr:to>
    <xdr:sp macro="[0]!Navegar" textlink="">
      <xdr:nvSpPr>
        <xdr:cNvPr id="11" name="nav_2">
          <a:extLst>
            <a:ext uri="{FF2B5EF4-FFF2-40B4-BE49-F238E27FC236}">
              <a16:creationId xmlns:a16="http://schemas.microsoft.com/office/drawing/2014/main" id="{B25D6863-D852-7504-D3CC-F2C958D1E92B}"/>
            </a:ext>
          </a:extLst>
        </xdr:cNvPr>
        <xdr:cNvSpPr txBox="1"/>
      </xdr:nvSpPr>
      <xdr:spPr>
        <a:xfrm>
          <a:off x="186944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Lançar</a:t>
          </a:r>
        </a:p>
      </xdr:txBody>
    </xdr:sp>
    <xdr:clientData/>
  </xdr:twoCellAnchor>
  <xdr:twoCellAnchor editAs="absolute">
    <xdr:from>
      <xdr:col>2</xdr:col>
      <xdr:colOff>458470</xdr:colOff>
      <xdr:row>1</xdr:row>
      <xdr:rowOff>57150</xdr:rowOff>
    </xdr:from>
    <xdr:to>
      <xdr:col>3</xdr:col>
      <xdr:colOff>577850</xdr:colOff>
      <xdr:row>1</xdr:row>
      <xdr:rowOff>361950</xdr:rowOff>
    </xdr:to>
    <xdr:sp macro="[0]!Navegar" textlink="">
      <xdr:nvSpPr>
        <xdr:cNvPr id="12" name="nav_3">
          <a:extLst>
            <a:ext uri="{FF2B5EF4-FFF2-40B4-BE49-F238E27FC236}">
              <a16:creationId xmlns:a16="http://schemas.microsoft.com/office/drawing/2014/main" id="{E9374BD7-2EB3-D234-0804-5E16A46D5F14}"/>
            </a:ext>
          </a:extLst>
        </xdr:cNvPr>
        <xdr:cNvSpPr txBox="1"/>
      </xdr:nvSpPr>
      <xdr:spPr>
        <a:xfrm>
          <a:off x="268732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Contas</a:t>
          </a:r>
        </a:p>
      </xdr:txBody>
    </xdr:sp>
    <xdr:clientData/>
  </xdr:twoCellAnchor>
  <xdr:twoCellAnchor editAs="absolute">
    <xdr:from>
      <xdr:col>3</xdr:col>
      <xdr:colOff>628650</xdr:colOff>
      <xdr:row>1</xdr:row>
      <xdr:rowOff>57150</xdr:rowOff>
    </xdr:from>
    <xdr:to>
      <xdr:col>4</xdr:col>
      <xdr:colOff>333375</xdr:colOff>
      <xdr:row>1</xdr:row>
      <xdr:rowOff>361950</xdr:rowOff>
    </xdr:to>
    <xdr:sp macro="[0]!Navegar" textlink="">
      <xdr:nvSpPr>
        <xdr:cNvPr id="13" name="nav_4">
          <a:extLst>
            <a:ext uri="{FF2B5EF4-FFF2-40B4-BE49-F238E27FC236}">
              <a16:creationId xmlns:a16="http://schemas.microsoft.com/office/drawing/2014/main" id="{D943D47A-ED25-CDCC-49B4-E6254FF1B355}"/>
            </a:ext>
          </a:extLst>
        </xdr:cNvPr>
        <xdr:cNvSpPr txBox="1"/>
      </xdr:nvSpPr>
      <xdr:spPr>
        <a:xfrm>
          <a:off x="3505200" y="609600"/>
          <a:ext cx="6858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1">
              <a:solidFill>
                <a:srgbClr val="0B1F3A"/>
              </a:solidFill>
              <a:latin typeface="Segoe UI" panose="020B0502040204020203" pitchFamily="34" charset="0"/>
            </a:rPr>
            <a:t>Metas</a:t>
          </a:r>
        </a:p>
      </xdr:txBody>
    </xdr:sp>
    <xdr:clientData/>
  </xdr:twoCellAnchor>
  <xdr:twoCellAnchor editAs="absolute">
    <xdr:from>
      <xdr:col>3</xdr:col>
      <xdr:colOff>704850</xdr:colOff>
      <xdr:row>1</xdr:row>
      <xdr:rowOff>349250</xdr:rowOff>
    </xdr:from>
    <xdr:to>
      <xdr:col>4</xdr:col>
      <xdr:colOff>257175</xdr:colOff>
      <xdr:row>2</xdr:row>
      <xdr:rowOff>6350</xdr:rowOff>
    </xdr:to>
    <xdr:sp macro="" textlink="">
      <xdr:nvSpPr>
        <xdr:cNvPr id="14" name="navAtivo">
          <a:extLst>
            <a:ext uri="{FF2B5EF4-FFF2-40B4-BE49-F238E27FC236}">
              <a16:creationId xmlns:a16="http://schemas.microsoft.com/office/drawing/2014/main" id="{BEDA5555-1C4D-E402-58B4-FA00F72DA027}"/>
            </a:ext>
          </a:extLst>
        </xdr:cNvPr>
        <xdr:cNvSpPr/>
      </xdr:nvSpPr>
      <xdr:spPr>
        <a:xfrm>
          <a:off x="3581400" y="901700"/>
          <a:ext cx="533400" cy="38100"/>
        </a:xfrm>
        <a:prstGeom prst="rect">
          <a:avLst/>
        </a:prstGeom>
        <a:solidFill>
          <a:srgbClr val="C9A22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4</xdr:col>
      <xdr:colOff>409575</xdr:colOff>
      <xdr:row>1</xdr:row>
      <xdr:rowOff>107950</xdr:rowOff>
    </xdr:from>
    <xdr:to>
      <xdr:col>4</xdr:col>
      <xdr:colOff>409575</xdr:colOff>
      <xdr:row>1</xdr:row>
      <xdr:rowOff>311150</xdr:rowOff>
    </xdr:to>
    <xdr:cxnSp macro="">
      <xdr:nvCxnSpPr>
        <xdr:cNvPr id="15" name="navSep">
          <a:extLst>
            <a:ext uri="{FF2B5EF4-FFF2-40B4-BE49-F238E27FC236}">
              <a16:creationId xmlns:a16="http://schemas.microsoft.com/office/drawing/2014/main" id="{423711B0-CEA5-2124-840E-0243FF49FC01}"/>
            </a:ext>
          </a:extLst>
        </xdr:cNvPr>
        <xdr:cNvCxnSpPr/>
      </xdr:nvCxnSpPr>
      <xdr:spPr>
        <a:xfrm>
          <a:off x="4267200" y="660400"/>
          <a:ext cx="0" cy="203200"/>
        </a:xfrm>
        <a:prstGeom prst="line">
          <a:avLst/>
        </a:prstGeom>
        <a:ln>
          <a:solidFill>
            <a:srgbClr val="E2E8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4</xdr:col>
      <xdr:colOff>485775</xdr:colOff>
      <xdr:row>1</xdr:row>
      <xdr:rowOff>57150</xdr:rowOff>
    </xdr:from>
    <xdr:to>
      <xdr:col>5</xdr:col>
      <xdr:colOff>811530</xdr:colOff>
      <xdr:row>1</xdr:row>
      <xdr:rowOff>361950</xdr:rowOff>
    </xdr:to>
    <xdr:sp macro="[0]!Navegar" textlink="">
      <xdr:nvSpPr>
        <xdr:cNvPr id="16" name="nav_5">
          <a:extLst>
            <a:ext uri="{FF2B5EF4-FFF2-40B4-BE49-F238E27FC236}">
              <a16:creationId xmlns:a16="http://schemas.microsoft.com/office/drawing/2014/main" id="{693997BB-3310-497C-A76D-5FA53FEDAD79}"/>
            </a:ext>
          </a:extLst>
        </xdr:cNvPr>
        <xdr:cNvSpPr txBox="1"/>
      </xdr:nvSpPr>
      <xdr:spPr>
        <a:xfrm>
          <a:off x="4343400" y="609600"/>
          <a:ext cx="11734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5</xdr:col>
      <xdr:colOff>862330</xdr:colOff>
      <xdr:row>1</xdr:row>
      <xdr:rowOff>57150</xdr:rowOff>
    </xdr:from>
    <xdr:to>
      <xdr:col>6</xdr:col>
      <xdr:colOff>892175</xdr:colOff>
      <xdr:row>1</xdr:row>
      <xdr:rowOff>361950</xdr:rowOff>
    </xdr:to>
    <xdr:sp macro="[0]!Navegar" textlink="">
      <xdr:nvSpPr>
        <xdr:cNvPr id="17" name="nav_6">
          <a:extLst>
            <a:ext uri="{FF2B5EF4-FFF2-40B4-BE49-F238E27FC236}">
              <a16:creationId xmlns:a16="http://schemas.microsoft.com/office/drawing/2014/main" id="{33F609D4-D92F-CFF4-0F92-0A05535A793B}"/>
            </a:ext>
          </a:extLst>
        </xdr:cNvPr>
        <xdr:cNvSpPr txBox="1"/>
      </xdr:nvSpPr>
      <xdr:spPr>
        <a:xfrm>
          <a:off x="5567680" y="609600"/>
          <a:ext cx="101092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Orçamento</a:t>
          </a:r>
        </a:p>
      </xdr:txBody>
    </xdr:sp>
    <xdr:clientData/>
  </xdr:twoCellAnchor>
  <xdr:twoCellAnchor editAs="absolute">
    <xdr:from>
      <xdr:col>7</xdr:col>
      <xdr:colOff>28575</xdr:colOff>
      <xdr:row>1</xdr:row>
      <xdr:rowOff>57150</xdr:rowOff>
    </xdr:from>
    <xdr:to>
      <xdr:col>7</xdr:col>
      <xdr:colOff>795655</xdr:colOff>
      <xdr:row>1</xdr:row>
      <xdr:rowOff>361950</xdr:rowOff>
    </xdr:to>
    <xdr:sp macro="[0]!Navegar" textlink="">
      <xdr:nvSpPr>
        <xdr:cNvPr id="18" name="nav_7">
          <a:extLst>
            <a:ext uri="{FF2B5EF4-FFF2-40B4-BE49-F238E27FC236}">
              <a16:creationId xmlns:a16="http://schemas.microsoft.com/office/drawing/2014/main" id="{B0E9E5DA-E260-5139-9125-AB58BA13F313}"/>
            </a:ext>
          </a:extLst>
        </xdr:cNvPr>
        <xdr:cNvSpPr txBox="1"/>
      </xdr:nvSpPr>
      <xdr:spPr>
        <a:xfrm>
          <a:off x="662940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Rendas</a:t>
          </a:r>
        </a:p>
      </xdr:txBody>
    </xdr:sp>
    <xdr:clientData/>
  </xdr:twoCellAnchor>
  <xdr:twoCellAnchor editAs="absolute">
    <xdr:from>
      <xdr:col>7</xdr:col>
      <xdr:colOff>846455</xdr:colOff>
      <xdr:row>1</xdr:row>
      <xdr:rowOff>57150</xdr:rowOff>
    </xdr:from>
    <xdr:to>
      <xdr:col>8</xdr:col>
      <xdr:colOff>957580</xdr:colOff>
      <xdr:row>1</xdr:row>
      <xdr:rowOff>361950</xdr:rowOff>
    </xdr:to>
    <xdr:sp macro="[0]!Navegar" textlink="">
      <xdr:nvSpPr>
        <xdr:cNvPr id="19" name="nav_8">
          <a:extLst>
            <a:ext uri="{FF2B5EF4-FFF2-40B4-BE49-F238E27FC236}">
              <a16:creationId xmlns:a16="http://schemas.microsoft.com/office/drawing/2014/main" id="{4156135E-966D-397F-C4A9-379A05EE875C}"/>
            </a:ext>
          </a:extLst>
        </xdr:cNvPr>
        <xdr:cNvSpPr txBox="1"/>
      </xdr:nvSpPr>
      <xdr:spPr>
        <a:xfrm>
          <a:off x="7447280" y="609600"/>
          <a:ext cx="10922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Categorias</a:t>
          </a:r>
        </a:p>
      </xdr:txBody>
    </xdr:sp>
    <xdr:clientData/>
  </xdr:twoCellAnchor>
  <xdr:twoCellAnchor editAs="absolute">
    <xdr:from>
      <xdr:col>9</xdr:col>
      <xdr:colOff>113030</xdr:colOff>
      <xdr:row>1</xdr:row>
      <xdr:rowOff>69850</xdr:rowOff>
    </xdr:from>
    <xdr:to>
      <xdr:col>10</xdr:col>
      <xdr:colOff>81280</xdr:colOff>
      <xdr:row>1</xdr:row>
      <xdr:rowOff>323850</xdr:rowOff>
    </xdr:to>
    <xdr:sp macro="[0]!AtualizarPainel" textlink="">
      <xdr:nvSpPr>
        <xdr:cNvPr id="20" name="btAtualizarPainel19">
          <a:extLst>
            <a:ext uri="{FF2B5EF4-FFF2-40B4-BE49-F238E27FC236}">
              <a16:creationId xmlns:a16="http://schemas.microsoft.com/office/drawing/2014/main" id="{9B44F071-5F17-E2D4-419C-9DB8337BC6D3}"/>
            </a:ext>
          </a:extLst>
        </xdr:cNvPr>
        <xdr:cNvSpPr/>
      </xdr:nvSpPr>
      <xdr:spPr>
        <a:xfrm>
          <a:off x="8742680" y="622300"/>
          <a:ext cx="1016000" cy="254000"/>
        </a:xfrm>
        <a:prstGeom prst="roundRect">
          <a:avLst>
            <a:gd name="adj" fmla="val 20000"/>
          </a:avLst>
        </a:prstGeom>
        <a:solidFill>
          <a:srgbClr val="FFFFFF"/>
        </a:solidFill>
        <a:ln w="9525">
          <a:solidFill>
            <a:srgbClr val="E2E8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850" b="1">
              <a:solidFill>
                <a:srgbClr val="2A6FB8"/>
              </a:solidFill>
              <a:latin typeface="Segoe UI" panose="020B0502040204020203" pitchFamily="34" charset="0"/>
            </a:rPr>
            <a:t>Atualizar</a:t>
          </a:r>
        </a:p>
      </xdr:txBody>
    </xdr:sp>
    <xdr:clientData/>
  </xdr:twoCellAnchor>
  <xdr:twoCellAnchor editAs="absolute">
    <xdr:from>
      <xdr:col>0</xdr:col>
      <xdr:colOff>152400</xdr:colOff>
      <xdr:row>3</xdr:row>
      <xdr:rowOff>9525</xdr:rowOff>
    </xdr:from>
    <xdr:to>
      <xdr:col>2</xdr:col>
      <xdr:colOff>615950</xdr:colOff>
      <xdr:row>7</xdr:row>
      <xdr:rowOff>34925</xdr:rowOff>
    </xdr:to>
    <xdr:sp macro="" textlink="">
      <xdr:nvSpPr>
        <xdr:cNvPr id="21" name="kpiCardm70">
          <a:extLst>
            <a:ext uri="{FF2B5EF4-FFF2-40B4-BE49-F238E27FC236}">
              <a16:creationId xmlns:a16="http://schemas.microsoft.com/office/drawing/2014/main" id="{AA31AA13-9209-90A0-54CE-06E18AA05C16}"/>
            </a:ext>
          </a:extLst>
        </xdr:cNvPr>
        <xdr:cNvSpPr/>
      </xdr:nvSpPr>
      <xdr:spPr>
        <a:xfrm>
          <a:off x="152400" y="1066800"/>
          <a:ext cx="2692400" cy="863600"/>
        </a:xfrm>
        <a:prstGeom prst="roundRect">
          <a:avLst>
            <a:gd name="adj" fmla="val 5000"/>
          </a:avLst>
        </a:prstGeom>
        <a:solidFill>
          <a:srgbClr val="FFFFFF"/>
        </a:solidFill>
        <a:ln w="9525">
          <a:solidFill>
            <a:srgbClr val="E2E8F0"/>
          </a:solidFill>
        </a:ln>
        <a:effectLst>
          <a:outerShdw blurRad="50800" dist="12700" dir="5400000" rotWithShape="0">
            <a:srgbClr val="000000">
              <a:alpha val="8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</xdr:col>
      <xdr:colOff>149225</xdr:colOff>
      <xdr:row>3</xdr:row>
      <xdr:rowOff>136525</xdr:rowOff>
    </xdr:from>
    <xdr:to>
      <xdr:col>2</xdr:col>
      <xdr:colOff>438150</xdr:colOff>
      <xdr:row>4</xdr:row>
      <xdr:rowOff>92075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9DCD5DBC-5BE7-E27A-70FF-BE8AA019E68A}"/>
            </a:ext>
          </a:extLst>
        </xdr:cNvPr>
        <xdr:cNvSpPr txBox="1"/>
      </xdr:nvSpPr>
      <xdr:spPr>
        <a:xfrm>
          <a:off x="330200" y="1193800"/>
          <a:ext cx="2336800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r>
            <a:rPr lang="pt-BR" sz="750" b="1">
              <a:solidFill>
                <a:srgbClr val="64748B"/>
              </a:solidFill>
              <a:latin typeface="Segoe UI" panose="020B0502040204020203" pitchFamily="34" charset="0"/>
            </a:rPr>
            <a:t>ALVO TOTAL</a:t>
          </a:r>
        </a:p>
      </xdr:txBody>
    </xdr:sp>
    <xdr:clientData/>
  </xdr:twoCellAnchor>
  <xdr:twoCellAnchor editAs="absolute">
    <xdr:from>
      <xdr:col>1</xdr:col>
      <xdr:colOff>149225</xdr:colOff>
      <xdr:row>4</xdr:row>
      <xdr:rowOff>92075</xdr:rowOff>
    </xdr:from>
    <xdr:to>
      <xdr:col>2</xdr:col>
      <xdr:colOff>438150</xdr:colOff>
      <xdr:row>6</xdr:row>
      <xdr:rowOff>28575</xdr:rowOff>
    </xdr:to>
    <xdr:sp macro="" textlink="Calc!$C$70">
      <xdr:nvSpPr>
        <xdr:cNvPr id="23" name="kpiValorm70">
          <a:extLst>
            <a:ext uri="{FF2B5EF4-FFF2-40B4-BE49-F238E27FC236}">
              <a16:creationId xmlns:a16="http://schemas.microsoft.com/office/drawing/2014/main" id="{509FC20A-AB5A-D886-23D8-D2DD6549CB9C}"/>
            </a:ext>
          </a:extLst>
        </xdr:cNvPr>
        <xdr:cNvSpPr txBox="1"/>
      </xdr:nvSpPr>
      <xdr:spPr>
        <a:xfrm>
          <a:off x="330200" y="1358900"/>
          <a:ext cx="23368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1C82B6B1-C7F6-4408-AAD2-1BCBF7BA4065}" type="TxLink">
            <a:rPr lang="en-US" sz="1700" b="1" i="0" u="none" strike="noStrike">
              <a:solidFill>
                <a:srgbClr val="1A202C"/>
              </a:solidFill>
              <a:latin typeface="Segoe UI" panose="020B0502040204020203" pitchFamily="34" charset="0"/>
              <a:ea typeface="Calibri"/>
              <a:cs typeface="Calibri"/>
            </a:rPr>
            <a:pPr/>
            <a:t>R$ 60.840</a:t>
          </a:fld>
          <a:endParaRPr lang="pt-BR" sz="1700" b="1">
            <a:solidFill>
              <a:srgbClr val="1A202C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149225</xdr:colOff>
      <xdr:row>5</xdr:row>
      <xdr:rowOff>174625</xdr:rowOff>
    </xdr:from>
    <xdr:to>
      <xdr:col>2</xdr:col>
      <xdr:colOff>438150</xdr:colOff>
      <xdr:row>6</xdr:row>
      <xdr:rowOff>130175</xdr:rowOff>
    </xdr:to>
    <xdr:sp macro="" textlink="Calc!$E$70">
      <xdr:nvSpPr>
        <xdr:cNvPr id="24" name="kpiDeltam70">
          <a:extLst>
            <a:ext uri="{FF2B5EF4-FFF2-40B4-BE49-F238E27FC236}">
              <a16:creationId xmlns:a16="http://schemas.microsoft.com/office/drawing/2014/main" id="{0A9209BF-78CD-DCF9-3EE1-364E56D0FC24}"/>
            </a:ext>
          </a:extLst>
        </xdr:cNvPr>
        <xdr:cNvSpPr txBox="1"/>
      </xdr:nvSpPr>
      <xdr:spPr>
        <a:xfrm>
          <a:off x="330200" y="1651000"/>
          <a:ext cx="2336800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7C40F89B-EC24-4CEB-A4E3-B19889360B1E}" type="TxLink">
            <a:rPr lang="en-US" sz="800" b="0" i="0" u="none" strike="noStrike">
              <a:solidFill>
                <a:srgbClr val="64748B"/>
              </a:solidFill>
              <a:latin typeface="Segoe UI" panose="020B0502040204020203" pitchFamily="34" charset="0"/>
              <a:ea typeface="Calibri"/>
              <a:cs typeface="Calibri"/>
            </a:rPr>
            <a:pPr/>
            <a:t>6 meta(s)</a:t>
          </a:fld>
          <a:endParaRPr lang="pt-BR" sz="800" b="0">
            <a:solidFill>
              <a:srgbClr val="64748B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3</xdr:col>
      <xdr:colOff>95250</xdr:colOff>
      <xdr:row>3</xdr:row>
      <xdr:rowOff>9525</xdr:rowOff>
    </xdr:from>
    <xdr:to>
      <xdr:col>5</xdr:col>
      <xdr:colOff>958850</xdr:colOff>
      <xdr:row>7</xdr:row>
      <xdr:rowOff>34925</xdr:rowOff>
    </xdr:to>
    <xdr:sp macro="" textlink="">
      <xdr:nvSpPr>
        <xdr:cNvPr id="25" name="kpiCardm71">
          <a:extLst>
            <a:ext uri="{FF2B5EF4-FFF2-40B4-BE49-F238E27FC236}">
              <a16:creationId xmlns:a16="http://schemas.microsoft.com/office/drawing/2014/main" id="{2E28BB79-6CD8-C3B0-65A6-AD98D6FECDA9}"/>
            </a:ext>
          </a:extLst>
        </xdr:cNvPr>
        <xdr:cNvSpPr/>
      </xdr:nvSpPr>
      <xdr:spPr>
        <a:xfrm>
          <a:off x="2971800" y="1066800"/>
          <a:ext cx="2692400" cy="863600"/>
        </a:xfrm>
        <a:prstGeom prst="roundRect">
          <a:avLst>
            <a:gd name="adj" fmla="val 5000"/>
          </a:avLst>
        </a:prstGeom>
        <a:solidFill>
          <a:srgbClr val="FFFFFF"/>
        </a:solidFill>
        <a:ln w="9525">
          <a:solidFill>
            <a:srgbClr val="E2E8F0"/>
          </a:solidFill>
        </a:ln>
        <a:effectLst>
          <a:outerShdw blurRad="50800" dist="12700" dir="5400000" rotWithShape="0">
            <a:srgbClr val="000000">
              <a:alpha val="8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3</xdr:col>
      <xdr:colOff>273050</xdr:colOff>
      <xdr:row>3</xdr:row>
      <xdr:rowOff>136525</xdr:rowOff>
    </xdr:from>
    <xdr:to>
      <xdr:col>5</xdr:col>
      <xdr:colOff>781050</xdr:colOff>
      <xdr:row>4</xdr:row>
      <xdr:rowOff>92075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5D168109-C469-4416-5493-332160AE1EBA}"/>
            </a:ext>
          </a:extLst>
        </xdr:cNvPr>
        <xdr:cNvSpPr txBox="1"/>
      </xdr:nvSpPr>
      <xdr:spPr>
        <a:xfrm>
          <a:off x="3149600" y="1193800"/>
          <a:ext cx="2336800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r>
            <a:rPr lang="pt-BR" sz="750" b="1">
              <a:solidFill>
                <a:srgbClr val="64748B"/>
              </a:solidFill>
              <a:latin typeface="Segoe UI" panose="020B0502040204020203" pitchFamily="34" charset="0"/>
            </a:rPr>
            <a:t>ACUMULADO</a:t>
          </a:r>
        </a:p>
      </xdr:txBody>
    </xdr:sp>
    <xdr:clientData/>
  </xdr:twoCellAnchor>
  <xdr:twoCellAnchor editAs="absolute">
    <xdr:from>
      <xdr:col>3</xdr:col>
      <xdr:colOff>273050</xdr:colOff>
      <xdr:row>4</xdr:row>
      <xdr:rowOff>92075</xdr:rowOff>
    </xdr:from>
    <xdr:to>
      <xdr:col>5</xdr:col>
      <xdr:colOff>781050</xdr:colOff>
      <xdr:row>6</xdr:row>
      <xdr:rowOff>28575</xdr:rowOff>
    </xdr:to>
    <xdr:sp macro="" textlink="Calc!$C$71">
      <xdr:nvSpPr>
        <xdr:cNvPr id="27" name="kpiValorm71">
          <a:extLst>
            <a:ext uri="{FF2B5EF4-FFF2-40B4-BE49-F238E27FC236}">
              <a16:creationId xmlns:a16="http://schemas.microsoft.com/office/drawing/2014/main" id="{C64912E7-4B15-F704-6C3E-C8B0920C79A6}"/>
            </a:ext>
          </a:extLst>
        </xdr:cNvPr>
        <xdr:cNvSpPr txBox="1"/>
      </xdr:nvSpPr>
      <xdr:spPr>
        <a:xfrm>
          <a:off x="3149600" y="1358900"/>
          <a:ext cx="23368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A3969F93-7BB6-4225-B8E0-11E414576483}" type="TxLink">
            <a:rPr lang="en-US" sz="1700" b="1" i="0" u="none" strike="noStrike">
              <a:solidFill>
                <a:srgbClr val="1A202C"/>
              </a:solidFill>
              <a:latin typeface="Segoe UI" panose="020B0502040204020203" pitchFamily="34" charset="0"/>
              <a:ea typeface="Calibri"/>
              <a:cs typeface="Calibri"/>
            </a:rPr>
            <a:pPr/>
            <a:t>R$ 0</a:t>
          </a:fld>
          <a:endParaRPr lang="pt-BR" sz="1700" b="1">
            <a:solidFill>
              <a:srgbClr val="1A202C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3</xdr:col>
      <xdr:colOff>273050</xdr:colOff>
      <xdr:row>5</xdr:row>
      <xdr:rowOff>174625</xdr:rowOff>
    </xdr:from>
    <xdr:to>
      <xdr:col>5</xdr:col>
      <xdr:colOff>781050</xdr:colOff>
      <xdr:row>6</xdr:row>
      <xdr:rowOff>130175</xdr:rowOff>
    </xdr:to>
    <xdr:sp macro="" textlink="Calc!$E$71">
      <xdr:nvSpPr>
        <xdr:cNvPr id="28" name="kpiDeltam71">
          <a:extLst>
            <a:ext uri="{FF2B5EF4-FFF2-40B4-BE49-F238E27FC236}">
              <a16:creationId xmlns:a16="http://schemas.microsoft.com/office/drawing/2014/main" id="{AF331BF2-CDE1-25CD-6433-CE10E0440A9D}"/>
            </a:ext>
          </a:extLst>
        </xdr:cNvPr>
        <xdr:cNvSpPr txBox="1"/>
      </xdr:nvSpPr>
      <xdr:spPr>
        <a:xfrm>
          <a:off x="3149600" y="1651000"/>
          <a:ext cx="2336800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C2A544DB-AB25-4673-9990-6BAFD2430D89}" type="TxLink">
            <a:rPr lang="en-US" sz="800" b="0" i="0" u="none" strike="noStrike">
              <a:solidFill>
                <a:srgbClr val="64748B"/>
              </a:solidFill>
              <a:latin typeface="Segoe UI" panose="020B0502040204020203" pitchFamily="34" charset="0"/>
              <a:ea typeface="Calibri"/>
              <a:cs typeface="Calibri"/>
            </a:rPr>
            <a:pPr/>
            <a:t>0 concluída(s)</a:t>
          </a:fld>
          <a:endParaRPr lang="pt-BR" sz="800" b="0">
            <a:solidFill>
              <a:srgbClr val="64748B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6</xdr:col>
      <xdr:colOff>104775</xdr:colOff>
      <xdr:row>3</xdr:row>
      <xdr:rowOff>9525</xdr:rowOff>
    </xdr:from>
    <xdr:to>
      <xdr:col>8</xdr:col>
      <xdr:colOff>901700</xdr:colOff>
      <xdr:row>7</xdr:row>
      <xdr:rowOff>34925</xdr:rowOff>
    </xdr:to>
    <xdr:sp macro="" textlink="">
      <xdr:nvSpPr>
        <xdr:cNvPr id="29" name="kpiCardm72">
          <a:extLst>
            <a:ext uri="{FF2B5EF4-FFF2-40B4-BE49-F238E27FC236}">
              <a16:creationId xmlns:a16="http://schemas.microsoft.com/office/drawing/2014/main" id="{7F4AE9DB-F3B5-D608-44CA-B7B43254333D}"/>
            </a:ext>
          </a:extLst>
        </xdr:cNvPr>
        <xdr:cNvSpPr/>
      </xdr:nvSpPr>
      <xdr:spPr>
        <a:xfrm>
          <a:off x="5791200" y="1066800"/>
          <a:ext cx="2692400" cy="863600"/>
        </a:xfrm>
        <a:prstGeom prst="roundRect">
          <a:avLst>
            <a:gd name="adj" fmla="val 5000"/>
          </a:avLst>
        </a:prstGeom>
        <a:solidFill>
          <a:srgbClr val="FFFFFF"/>
        </a:solidFill>
        <a:ln w="9525">
          <a:solidFill>
            <a:srgbClr val="E2E8F0"/>
          </a:solidFill>
        </a:ln>
        <a:effectLst>
          <a:outerShdw blurRad="50800" dist="12700" dir="5400000" rotWithShape="0">
            <a:srgbClr val="000000">
              <a:alpha val="8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6</xdr:col>
      <xdr:colOff>282575</xdr:colOff>
      <xdr:row>3</xdr:row>
      <xdr:rowOff>136525</xdr:rowOff>
    </xdr:from>
    <xdr:to>
      <xdr:col>8</xdr:col>
      <xdr:colOff>723900</xdr:colOff>
      <xdr:row>4</xdr:row>
      <xdr:rowOff>92075</xdr:rowOff>
    </xdr:to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41E9A46F-8D18-7692-C689-5ED227DB09EC}"/>
            </a:ext>
          </a:extLst>
        </xdr:cNvPr>
        <xdr:cNvSpPr txBox="1"/>
      </xdr:nvSpPr>
      <xdr:spPr>
        <a:xfrm>
          <a:off x="5969000" y="1193800"/>
          <a:ext cx="2336800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r>
            <a:rPr lang="pt-BR" sz="750" b="1">
              <a:solidFill>
                <a:srgbClr val="64748B"/>
              </a:solidFill>
              <a:latin typeface="Segoe UI" panose="020B0502040204020203" pitchFamily="34" charset="0"/>
            </a:rPr>
            <a:t>% CONCLUÍDO</a:t>
          </a:r>
        </a:p>
      </xdr:txBody>
    </xdr:sp>
    <xdr:clientData/>
  </xdr:twoCellAnchor>
  <xdr:twoCellAnchor editAs="absolute">
    <xdr:from>
      <xdr:col>6</xdr:col>
      <xdr:colOff>282575</xdr:colOff>
      <xdr:row>4</xdr:row>
      <xdr:rowOff>92075</xdr:rowOff>
    </xdr:from>
    <xdr:to>
      <xdr:col>8</xdr:col>
      <xdr:colOff>723900</xdr:colOff>
      <xdr:row>6</xdr:row>
      <xdr:rowOff>28575</xdr:rowOff>
    </xdr:to>
    <xdr:sp macro="" textlink="Calc!$C$72">
      <xdr:nvSpPr>
        <xdr:cNvPr id="31" name="kpiValorm72">
          <a:extLst>
            <a:ext uri="{FF2B5EF4-FFF2-40B4-BE49-F238E27FC236}">
              <a16:creationId xmlns:a16="http://schemas.microsoft.com/office/drawing/2014/main" id="{664437AF-862C-B78E-7165-64677CCA4E7F}"/>
            </a:ext>
          </a:extLst>
        </xdr:cNvPr>
        <xdr:cNvSpPr txBox="1"/>
      </xdr:nvSpPr>
      <xdr:spPr>
        <a:xfrm>
          <a:off x="5969000" y="1358900"/>
          <a:ext cx="23368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3D368F2F-76C8-4422-9955-147A5DE7601E}" type="TxLink">
            <a:rPr lang="en-US" sz="1700" b="1" i="0" u="none" strike="noStrike">
              <a:solidFill>
                <a:srgbClr val="1A202C"/>
              </a:solidFill>
              <a:latin typeface="Segoe UI" panose="020B0502040204020203" pitchFamily="34" charset="0"/>
              <a:ea typeface="Calibri"/>
              <a:cs typeface="Calibri"/>
            </a:rPr>
            <a:pPr/>
            <a:t>0%</a:t>
          </a:fld>
          <a:endParaRPr lang="pt-BR" sz="1700" b="1">
            <a:solidFill>
              <a:srgbClr val="1A202C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6</xdr:col>
      <xdr:colOff>282575</xdr:colOff>
      <xdr:row>5</xdr:row>
      <xdr:rowOff>174625</xdr:rowOff>
    </xdr:from>
    <xdr:to>
      <xdr:col>8</xdr:col>
      <xdr:colOff>723900</xdr:colOff>
      <xdr:row>6</xdr:row>
      <xdr:rowOff>130175</xdr:rowOff>
    </xdr:to>
    <xdr:sp macro="" textlink="Calc!$E$72">
      <xdr:nvSpPr>
        <xdr:cNvPr id="32" name="kpiDeltam72">
          <a:extLst>
            <a:ext uri="{FF2B5EF4-FFF2-40B4-BE49-F238E27FC236}">
              <a16:creationId xmlns:a16="http://schemas.microsoft.com/office/drawing/2014/main" id="{EC4DFAB3-7AD2-674D-1937-F0B0FC0D37B7}"/>
            </a:ext>
          </a:extLst>
        </xdr:cNvPr>
        <xdr:cNvSpPr txBox="1"/>
      </xdr:nvSpPr>
      <xdr:spPr>
        <a:xfrm>
          <a:off x="5969000" y="1651000"/>
          <a:ext cx="2336800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E07476F6-8DCE-42A7-8ED0-B5F9D2CDEE62}" type="TxLink">
            <a:rPr lang="en-US" sz="800" b="0" i="0" u="none" strike="noStrike">
              <a:solidFill>
                <a:srgbClr val="C62828"/>
              </a:solidFill>
              <a:latin typeface="Segoe UI" panose="020B0502040204020203" pitchFamily="34" charset="0"/>
              <a:ea typeface="Calibri"/>
              <a:cs typeface="Calibri"/>
            </a:rPr>
            <a:pPr/>
            <a:t>6 atrasada(s)</a:t>
          </a:fld>
          <a:endParaRPr lang="pt-BR" sz="800" b="0">
            <a:solidFill>
              <a:srgbClr val="C62828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8</xdr:col>
      <xdr:colOff>1028700</xdr:colOff>
      <xdr:row>3</xdr:row>
      <xdr:rowOff>9525</xdr:rowOff>
    </xdr:from>
    <xdr:to>
      <xdr:col>12</xdr:col>
      <xdr:colOff>406400</xdr:colOff>
      <xdr:row>7</xdr:row>
      <xdr:rowOff>34925</xdr:rowOff>
    </xdr:to>
    <xdr:sp macro="" textlink="">
      <xdr:nvSpPr>
        <xdr:cNvPr id="33" name="kpiCardm73">
          <a:extLst>
            <a:ext uri="{FF2B5EF4-FFF2-40B4-BE49-F238E27FC236}">
              <a16:creationId xmlns:a16="http://schemas.microsoft.com/office/drawing/2014/main" id="{524D26AA-B7A5-3F72-8DC8-4ACE0C958C49}"/>
            </a:ext>
          </a:extLst>
        </xdr:cNvPr>
        <xdr:cNvSpPr/>
      </xdr:nvSpPr>
      <xdr:spPr>
        <a:xfrm>
          <a:off x="8610600" y="1066800"/>
          <a:ext cx="2692400" cy="863600"/>
        </a:xfrm>
        <a:prstGeom prst="roundRect">
          <a:avLst>
            <a:gd name="adj" fmla="val 5000"/>
          </a:avLst>
        </a:prstGeom>
        <a:solidFill>
          <a:srgbClr val="FFFFFF"/>
        </a:solidFill>
        <a:ln w="9525">
          <a:solidFill>
            <a:srgbClr val="E2E8F0"/>
          </a:solidFill>
        </a:ln>
        <a:effectLst>
          <a:outerShdw blurRad="50800" dist="12700" dir="5400000" rotWithShape="0">
            <a:srgbClr val="000000">
              <a:alpha val="8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9</xdr:col>
      <xdr:colOff>158750</xdr:colOff>
      <xdr:row>3</xdr:row>
      <xdr:rowOff>136525</xdr:rowOff>
    </xdr:from>
    <xdr:to>
      <xdr:col>12</xdr:col>
      <xdr:colOff>228600</xdr:colOff>
      <xdr:row>4</xdr:row>
      <xdr:rowOff>92075</xdr:rowOff>
    </xdr:to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8BD843D0-0C98-9B4E-6600-90135FEAD5EA}"/>
            </a:ext>
          </a:extLst>
        </xdr:cNvPr>
        <xdr:cNvSpPr txBox="1"/>
      </xdr:nvSpPr>
      <xdr:spPr>
        <a:xfrm>
          <a:off x="8788400" y="1193800"/>
          <a:ext cx="2336800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r>
            <a:rPr lang="pt-BR" sz="750" b="1">
              <a:solidFill>
                <a:srgbClr val="64748B"/>
              </a:solidFill>
              <a:latin typeface="Segoe UI" panose="020B0502040204020203" pitchFamily="34" charset="0"/>
            </a:rPr>
            <a:t>APORTE MENSAL NECESSÁRIO</a:t>
          </a:r>
        </a:p>
      </xdr:txBody>
    </xdr:sp>
    <xdr:clientData/>
  </xdr:twoCellAnchor>
  <xdr:twoCellAnchor editAs="absolute">
    <xdr:from>
      <xdr:col>9</xdr:col>
      <xdr:colOff>158750</xdr:colOff>
      <xdr:row>4</xdr:row>
      <xdr:rowOff>92075</xdr:rowOff>
    </xdr:from>
    <xdr:to>
      <xdr:col>12</xdr:col>
      <xdr:colOff>228600</xdr:colOff>
      <xdr:row>6</xdr:row>
      <xdr:rowOff>28575</xdr:rowOff>
    </xdr:to>
    <xdr:sp macro="" textlink="Calc!$C$73">
      <xdr:nvSpPr>
        <xdr:cNvPr id="35" name="kpiValorm73">
          <a:extLst>
            <a:ext uri="{FF2B5EF4-FFF2-40B4-BE49-F238E27FC236}">
              <a16:creationId xmlns:a16="http://schemas.microsoft.com/office/drawing/2014/main" id="{6BD343EF-FF16-EE6F-7CFC-E92274E4BC7E}"/>
            </a:ext>
          </a:extLst>
        </xdr:cNvPr>
        <xdr:cNvSpPr txBox="1"/>
      </xdr:nvSpPr>
      <xdr:spPr>
        <a:xfrm>
          <a:off x="8788400" y="1358900"/>
          <a:ext cx="2336800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B98821F1-3315-491E-B296-564D0021FBBF}" type="TxLink">
            <a:rPr lang="en-US" sz="1700" b="1" i="0" u="none" strike="noStrike">
              <a:solidFill>
                <a:srgbClr val="1A202C"/>
              </a:solidFill>
              <a:latin typeface="Segoe UI" panose="020B0502040204020203" pitchFamily="34" charset="0"/>
              <a:ea typeface="Calibri"/>
              <a:cs typeface="Calibri"/>
            </a:rPr>
            <a:pPr/>
            <a:t>R$ 60.840</a:t>
          </a:fld>
          <a:endParaRPr lang="pt-BR" sz="1700" b="1">
            <a:solidFill>
              <a:srgbClr val="1A202C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9</xdr:col>
      <xdr:colOff>158750</xdr:colOff>
      <xdr:row>5</xdr:row>
      <xdr:rowOff>174625</xdr:rowOff>
    </xdr:from>
    <xdr:to>
      <xdr:col>12</xdr:col>
      <xdr:colOff>228600</xdr:colOff>
      <xdr:row>6</xdr:row>
      <xdr:rowOff>130175</xdr:rowOff>
    </xdr:to>
    <xdr:sp macro="" textlink="Calc!$E$73">
      <xdr:nvSpPr>
        <xdr:cNvPr id="36" name="kpiDeltam73">
          <a:extLst>
            <a:ext uri="{FF2B5EF4-FFF2-40B4-BE49-F238E27FC236}">
              <a16:creationId xmlns:a16="http://schemas.microsoft.com/office/drawing/2014/main" id="{5D2EFC9F-1E26-C09D-AAA4-FA5A6E047591}"/>
            </a:ext>
          </a:extLst>
        </xdr:cNvPr>
        <xdr:cNvSpPr txBox="1"/>
      </xdr:nvSpPr>
      <xdr:spPr>
        <a:xfrm>
          <a:off x="8788400" y="1651000"/>
          <a:ext cx="2336800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628603BE-E445-4D14-926D-6E401F20293A}" type="TxLink">
            <a:rPr lang="en-US" sz="800" b="0" i="0" u="none" strike="noStrike">
              <a:solidFill>
                <a:srgbClr val="64748B"/>
              </a:solidFill>
              <a:latin typeface="Segoe UI" panose="020B0502040204020203" pitchFamily="34" charset="0"/>
              <a:ea typeface="Calibri"/>
              <a:cs typeface="Calibri"/>
            </a:rPr>
            <a:pPr/>
            <a:t>para cumprir no prazo</a:t>
          </a:fld>
          <a:endParaRPr lang="pt-BR" sz="800" b="0">
            <a:solidFill>
              <a:srgbClr val="64748B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5</xdr:col>
      <xdr:colOff>76200</xdr:colOff>
      <xdr:row>8</xdr:row>
      <xdr:rowOff>0</xdr:rowOff>
    </xdr:from>
    <xdr:to>
      <xdr:col>6</xdr:col>
      <xdr:colOff>873125</xdr:colOff>
      <xdr:row>9</xdr:row>
      <xdr:rowOff>6350</xdr:rowOff>
    </xdr:to>
    <xdr:sp macro="[0]!RegistrarAporte" textlink="">
      <xdr:nvSpPr>
        <xdr:cNvPr id="37" name="btRegistrarAporte36">
          <a:extLst>
            <a:ext uri="{FF2B5EF4-FFF2-40B4-BE49-F238E27FC236}">
              <a16:creationId xmlns:a16="http://schemas.microsoft.com/office/drawing/2014/main" id="{1C119E0D-9A07-0E10-9AF7-C4B155A2D9B3}"/>
            </a:ext>
          </a:extLst>
        </xdr:cNvPr>
        <xdr:cNvSpPr/>
      </xdr:nvSpPr>
      <xdr:spPr>
        <a:xfrm>
          <a:off x="4781550" y="2095500"/>
          <a:ext cx="1778000" cy="330200"/>
        </a:xfrm>
        <a:prstGeom prst="roundRect">
          <a:avLst>
            <a:gd name="adj" fmla="val 20000"/>
          </a:avLst>
        </a:prstGeom>
        <a:solidFill>
          <a:srgbClr val="11917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900" b="1">
              <a:solidFill>
                <a:srgbClr val="FFFFFF"/>
              </a:solidFill>
              <a:latin typeface="Segoe UI" panose="020B0502040204020203" pitchFamily="34" charset="0"/>
            </a:rPr>
            <a:t>Registrar aporte</a:t>
          </a:r>
        </a:p>
      </xdr:txBody>
    </xdr:sp>
    <xdr:clientData/>
  </xdr:twoCellAnchor>
  <xdr:twoCellAnchor editAs="absolute">
    <xdr:from>
      <xdr:col>7</xdr:col>
      <xdr:colOff>60325</xdr:colOff>
      <xdr:row>8</xdr:row>
      <xdr:rowOff>0</xdr:rowOff>
    </xdr:from>
    <xdr:to>
      <xdr:col>8</xdr:col>
      <xdr:colOff>349250</xdr:colOff>
      <xdr:row>9</xdr:row>
      <xdr:rowOff>6350</xdr:rowOff>
    </xdr:to>
    <xdr:sp macro="[0]!NovaMeta" textlink="">
      <xdr:nvSpPr>
        <xdr:cNvPr id="38" name="btNovaMeta37">
          <a:extLst>
            <a:ext uri="{FF2B5EF4-FFF2-40B4-BE49-F238E27FC236}">
              <a16:creationId xmlns:a16="http://schemas.microsoft.com/office/drawing/2014/main" id="{3D3E518C-BEEF-CB1A-4E5F-A3370949DB5E}"/>
            </a:ext>
          </a:extLst>
        </xdr:cNvPr>
        <xdr:cNvSpPr/>
      </xdr:nvSpPr>
      <xdr:spPr>
        <a:xfrm>
          <a:off x="6661150" y="2095500"/>
          <a:ext cx="1270000" cy="330200"/>
        </a:xfrm>
        <a:prstGeom prst="roundRect">
          <a:avLst>
            <a:gd name="adj" fmla="val 20000"/>
          </a:avLst>
        </a:prstGeom>
        <a:solidFill>
          <a:srgbClr val="FFFFFF"/>
        </a:solidFill>
        <a:ln w="9525">
          <a:solidFill>
            <a:srgbClr val="E2E8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900" b="1">
              <a:solidFill>
                <a:srgbClr val="1A202C"/>
              </a:solidFill>
              <a:latin typeface="Segoe UI" panose="020B0502040204020203" pitchFamily="34" charset="0"/>
            </a:rPr>
            <a:t>Nova meta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19</xdr:col>
      <xdr:colOff>266700</xdr:colOff>
      <xdr:row>1</xdr:row>
      <xdr:rowOff>6350</xdr:rowOff>
    </xdr:to>
    <xdr:sp macro="" textlink="">
      <xdr:nvSpPr>
        <xdr:cNvPr id="4" name="cabFundo">
          <a:extLst>
            <a:ext uri="{FF2B5EF4-FFF2-40B4-BE49-F238E27FC236}">
              <a16:creationId xmlns:a16="http://schemas.microsoft.com/office/drawing/2014/main" id="{0D0A3A6A-1C57-F430-466F-84CA3F79C6A1}"/>
            </a:ext>
          </a:extLst>
        </xdr:cNvPr>
        <xdr:cNvSpPr/>
      </xdr:nvSpPr>
      <xdr:spPr>
        <a:xfrm>
          <a:off x="0" y="0"/>
          <a:ext cx="16192500" cy="558800"/>
        </a:xfrm>
        <a:prstGeom prst="rect">
          <a:avLst/>
        </a:prstGeom>
        <a:solidFill>
          <a:srgbClr val="0B1F3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228600</xdr:colOff>
      <xdr:row>0</xdr:row>
      <xdr:rowOff>76200</xdr:rowOff>
    </xdr:from>
    <xdr:to>
      <xdr:col>4</xdr:col>
      <xdr:colOff>1104900</xdr:colOff>
      <xdr:row>0</xdr:row>
      <xdr:rowOff>330200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B253C8DB-C85D-1E14-AF7B-F3FD0FC033F1}"/>
            </a:ext>
          </a:extLst>
        </xdr:cNvPr>
        <xdr:cNvSpPr txBox="1"/>
      </xdr:nvSpPr>
      <xdr:spPr>
        <a:xfrm>
          <a:off x="228600" y="76200"/>
          <a:ext cx="3810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r>
            <a:rPr lang="pt-BR" sz="1400" b="1">
              <a:solidFill>
                <a:srgbClr val="FFFFFF"/>
              </a:solidFill>
              <a:latin typeface="Segoe UI" panose="020B0502040204020203" pitchFamily="34" charset="0"/>
            </a:rPr>
            <a:t>Casa Organizada</a:t>
          </a:r>
        </a:p>
      </xdr:txBody>
    </xdr:sp>
    <xdr:clientData/>
  </xdr:twoCellAnchor>
  <xdr:twoCellAnchor editAs="absolute">
    <xdr:from>
      <xdr:col>0</xdr:col>
      <xdr:colOff>228600</xdr:colOff>
      <xdr:row>0</xdr:row>
      <xdr:rowOff>330200</xdr:rowOff>
    </xdr:from>
    <xdr:to>
      <xdr:col>4</xdr:col>
      <xdr:colOff>1104900</xdr:colOff>
      <xdr:row>0</xdr:row>
      <xdr:rowOff>482600</xdr:rowOff>
    </xdr:to>
    <xdr:sp macro="" textlink="Calc!$C$58">
      <xdr:nvSpPr>
        <xdr:cNvPr id="6" name="cabPeriodo">
          <a:extLst>
            <a:ext uri="{FF2B5EF4-FFF2-40B4-BE49-F238E27FC236}">
              <a16:creationId xmlns:a16="http://schemas.microsoft.com/office/drawing/2014/main" id="{E46EFEF5-4824-6A51-67D2-C62AC3CDACE9}"/>
            </a:ext>
          </a:extLst>
        </xdr:cNvPr>
        <xdr:cNvSpPr txBox="1"/>
      </xdr:nvSpPr>
      <xdr:spPr>
        <a:xfrm>
          <a:off x="228600" y="330200"/>
          <a:ext cx="38100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424D56FA-2D91-4AFF-B388-7BB6229661EB}" type="TxLink">
            <a:rPr lang="en-US" sz="850" b="0" i="0" u="none" strike="noStrike">
              <a:solidFill>
                <a:srgbClr val="A5B4C8"/>
              </a:solidFill>
              <a:latin typeface="Segoe UI" panose="020B0502040204020203" pitchFamily="34" charset="0"/>
              <a:ea typeface="Calibri"/>
              <a:cs typeface="Calibri"/>
            </a:rPr>
            <a:pPr/>
            <a:t>JAN de 2025</a:t>
          </a:fld>
          <a:endParaRPr lang="pt-BR" sz="850" b="0">
            <a:solidFill>
              <a:srgbClr val="A5B4C8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4</xdr:col>
      <xdr:colOff>241300</xdr:colOff>
      <xdr:row>0</xdr:row>
      <xdr:rowOff>203200</xdr:rowOff>
    </xdr:from>
    <xdr:to>
      <xdr:col>5</xdr:col>
      <xdr:colOff>1676400</xdr:colOff>
      <xdr:row>0</xdr:row>
      <xdr:rowOff>381000</xdr:rowOff>
    </xdr:to>
    <xdr:sp macro="" textlink="Calc!$C$56">
      <xdr:nvSpPr>
        <xdr:cNvPr id="7" name="chipStatus">
          <a:extLst>
            <a:ext uri="{FF2B5EF4-FFF2-40B4-BE49-F238E27FC236}">
              <a16:creationId xmlns:a16="http://schemas.microsoft.com/office/drawing/2014/main" id="{6EB0113D-8E08-F8C0-B717-0A44B3ADB645}"/>
            </a:ext>
          </a:extLst>
        </xdr:cNvPr>
        <xdr:cNvSpPr txBox="1"/>
      </xdr:nvSpPr>
      <xdr:spPr>
        <a:xfrm>
          <a:off x="3175000" y="203200"/>
          <a:ext cx="330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F8A64109-1749-4FAA-BD12-F68D4001B7EF}" type="TxLink">
            <a:rPr lang="en-US" sz="900" b="1" i="0" u="none" strike="noStrike">
              <a:solidFill>
                <a:srgbClr val="86EFAC"/>
              </a:solidFill>
              <a:latin typeface="Segoe UI" panose="020B0502040204020203" pitchFamily="34" charset="0"/>
              <a:ea typeface="Calibri"/>
              <a:cs typeface="Calibri"/>
            </a:rPr>
            <a:pPr/>
            <a:t>✓ Dados consistentes</a:t>
          </a:fld>
          <a:endParaRPr lang="pt-BR" sz="900" b="1">
            <a:solidFill>
              <a:srgbClr val="86EFAC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8</xdr:col>
      <xdr:colOff>596900</xdr:colOff>
      <xdr:row>0</xdr:row>
      <xdr:rowOff>114300</xdr:rowOff>
    </xdr:from>
    <xdr:to>
      <xdr:col>11</xdr:col>
      <xdr:colOff>25400</xdr:colOff>
      <xdr:row>0</xdr:row>
      <xdr:rowOff>444500</xdr:rowOff>
    </xdr:to>
    <xdr:sp macro="[0]!IrCadastro" textlink="">
      <xdr:nvSpPr>
        <xdr:cNvPr id="8" name="btIrCadastro5">
          <a:extLst>
            <a:ext uri="{FF2B5EF4-FFF2-40B4-BE49-F238E27FC236}">
              <a16:creationId xmlns:a16="http://schemas.microsoft.com/office/drawing/2014/main" id="{1D2D1AC7-DAFD-2D56-1D57-2C1790C67B87}"/>
            </a:ext>
          </a:extLst>
        </xdr:cNvPr>
        <xdr:cNvSpPr/>
      </xdr:nvSpPr>
      <xdr:spPr>
        <a:xfrm>
          <a:off x="9398000" y="114300"/>
          <a:ext cx="1676400" cy="330200"/>
        </a:xfrm>
        <a:prstGeom prst="roundRect">
          <a:avLst>
            <a:gd name="adj" fmla="val 20000"/>
          </a:avLst>
        </a:prstGeom>
        <a:solidFill>
          <a:srgbClr val="C9A22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950" b="1">
              <a:solidFill>
                <a:srgbClr val="0B1F3A"/>
              </a:solidFill>
              <a:latin typeface="Segoe UI" panose="020B0502040204020203" pitchFamily="34" charset="0"/>
            </a:rPr>
            <a:t>+ Lançar gasto</a:t>
          </a:r>
        </a:p>
      </xdr:txBody>
    </xdr:sp>
    <xdr:clientData/>
  </xdr:twoCellAnchor>
  <xdr:twoCellAnchor editAs="absolute">
    <xdr:from>
      <xdr:col>0</xdr:col>
      <xdr:colOff>0</xdr:colOff>
      <xdr:row>1</xdr:row>
      <xdr:rowOff>6350</xdr:rowOff>
    </xdr:from>
    <xdr:to>
      <xdr:col>19</xdr:col>
      <xdr:colOff>266700</xdr:colOff>
      <xdr:row>2</xdr:row>
      <xdr:rowOff>6350</xdr:rowOff>
    </xdr:to>
    <xdr:sp macro="" textlink="">
      <xdr:nvSpPr>
        <xdr:cNvPr id="9" name="navFundo">
          <a:extLst>
            <a:ext uri="{FF2B5EF4-FFF2-40B4-BE49-F238E27FC236}">
              <a16:creationId xmlns:a16="http://schemas.microsoft.com/office/drawing/2014/main" id="{C2A8FF95-7976-4104-5938-D93B47A9D075}"/>
            </a:ext>
          </a:extLst>
        </xdr:cNvPr>
        <xdr:cNvSpPr/>
      </xdr:nvSpPr>
      <xdr:spPr>
        <a:xfrm>
          <a:off x="0" y="558800"/>
          <a:ext cx="16192500" cy="3810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0</xdr:colOff>
      <xdr:row>2</xdr:row>
      <xdr:rowOff>6350</xdr:rowOff>
    </xdr:from>
    <xdr:to>
      <xdr:col>19</xdr:col>
      <xdr:colOff>266700</xdr:colOff>
      <xdr:row>2</xdr:row>
      <xdr:rowOff>6350</xdr:rowOff>
    </xdr:to>
    <xdr:cxnSp macro="">
      <xdr:nvCxnSpPr>
        <xdr:cNvPr id="10" name="navLinha">
          <a:extLst>
            <a:ext uri="{FF2B5EF4-FFF2-40B4-BE49-F238E27FC236}">
              <a16:creationId xmlns:a16="http://schemas.microsoft.com/office/drawing/2014/main" id="{D5557F35-98C2-BF43-1CED-283DB48E4031}"/>
            </a:ext>
          </a:extLst>
        </xdr:cNvPr>
        <xdr:cNvCxnSpPr/>
      </xdr:nvCxnSpPr>
      <xdr:spPr>
        <a:xfrm>
          <a:off x="0" y="939800"/>
          <a:ext cx="16192500" cy="0"/>
        </a:xfrm>
        <a:prstGeom prst="line">
          <a:avLst/>
        </a:prstGeom>
        <a:ln>
          <a:solidFill>
            <a:srgbClr val="E2E8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152400</xdr:colOff>
      <xdr:row>1</xdr:row>
      <xdr:rowOff>57150</xdr:rowOff>
    </xdr:from>
    <xdr:to>
      <xdr:col>1</xdr:col>
      <xdr:colOff>119380</xdr:colOff>
      <xdr:row>1</xdr:row>
      <xdr:rowOff>361950</xdr:rowOff>
    </xdr:to>
    <xdr:sp macro="[0]!Navegar" textlink="">
      <xdr:nvSpPr>
        <xdr:cNvPr id="11" name="nav_0">
          <a:extLst>
            <a:ext uri="{FF2B5EF4-FFF2-40B4-BE49-F238E27FC236}">
              <a16:creationId xmlns:a16="http://schemas.microsoft.com/office/drawing/2014/main" id="{54EA5A73-ACC9-D9E4-0A6C-FB0182770FB4}"/>
            </a:ext>
          </a:extLst>
        </xdr:cNvPr>
        <xdr:cNvSpPr txBox="1"/>
      </xdr:nvSpPr>
      <xdr:spPr>
        <a:xfrm>
          <a:off x="15240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Painel</a:t>
          </a:r>
        </a:p>
      </xdr:txBody>
    </xdr:sp>
    <xdr:clientData/>
  </xdr:twoCellAnchor>
  <xdr:twoCellAnchor editAs="absolute">
    <xdr:from>
      <xdr:col>1</xdr:col>
      <xdr:colOff>170180</xdr:colOff>
      <xdr:row>1</xdr:row>
      <xdr:rowOff>57150</xdr:rowOff>
    </xdr:from>
    <xdr:to>
      <xdr:col>3</xdr:col>
      <xdr:colOff>85090</xdr:colOff>
      <xdr:row>1</xdr:row>
      <xdr:rowOff>361950</xdr:rowOff>
    </xdr:to>
    <xdr:sp macro="[0]!Navegar" textlink="">
      <xdr:nvSpPr>
        <xdr:cNvPr id="12" name="nav_1">
          <a:extLst>
            <a:ext uri="{FF2B5EF4-FFF2-40B4-BE49-F238E27FC236}">
              <a16:creationId xmlns:a16="http://schemas.microsoft.com/office/drawing/2014/main" id="{D5C25F70-2007-99E1-5FCE-0E038F6A7A61}"/>
            </a:ext>
          </a:extLst>
        </xdr:cNvPr>
        <xdr:cNvSpPr txBox="1"/>
      </xdr:nvSpPr>
      <xdr:spPr>
        <a:xfrm>
          <a:off x="970280" y="609600"/>
          <a:ext cx="84836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Análise</a:t>
          </a:r>
        </a:p>
      </xdr:txBody>
    </xdr:sp>
    <xdr:clientData/>
  </xdr:twoCellAnchor>
  <xdr:twoCellAnchor editAs="absolute">
    <xdr:from>
      <xdr:col>3</xdr:col>
      <xdr:colOff>135890</xdr:colOff>
      <xdr:row>1</xdr:row>
      <xdr:rowOff>57150</xdr:rowOff>
    </xdr:from>
    <xdr:to>
      <xdr:col>3</xdr:col>
      <xdr:colOff>902970</xdr:colOff>
      <xdr:row>1</xdr:row>
      <xdr:rowOff>361950</xdr:rowOff>
    </xdr:to>
    <xdr:sp macro="[0]!Navegar" textlink="">
      <xdr:nvSpPr>
        <xdr:cNvPr id="13" name="nav_2">
          <a:extLst>
            <a:ext uri="{FF2B5EF4-FFF2-40B4-BE49-F238E27FC236}">
              <a16:creationId xmlns:a16="http://schemas.microsoft.com/office/drawing/2014/main" id="{927194F1-C85A-A4FE-F387-D42A4527BAA5}"/>
            </a:ext>
          </a:extLst>
        </xdr:cNvPr>
        <xdr:cNvSpPr txBox="1"/>
      </xdr:nvSpPr>
      <xdr:spPr>
        <a:xfrm>
          <a:off x="186944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Lançar</a:t>
          </a:r>
        </a:p>
      </xdr:txBody>
    </xdr:sp>
    <xdr:clientData/>
  </xdr:twoCellAnchor>
  <xdr:twoCellAnchor editAs="absolute">
    <xdr:from>
      <xdr:col>3</xdr:col>
      <xdr:colOff>953770</xdr:colOff>
      <xdr:row>1</xdr:row>
      <xdr:rowOff>57150</xdr:rowOff>
    </xdr:from>
    <xdr:to>
      <xdr:col>4</xdr:col>
      <xdr:colOff>520700</xdr:colOff>
      <xdr:row>1</xdr:row>
      <xdr:rowOff>361950</xdr:rowOff>
    </xdr:to>
    <xdr:sp macro="[0]!Navegar" textlink="">
      <xdr:nvSpPr>
        <xdr:cNvPr id="14" name="nav_3">
          <a:extLst>
            <a:ext uri="{FF2B5EF4-FFF2-40B4-BE49-F238E27FC236}">
              <a16:creationId xmlns:a16="http://schemas.microsoft.com/office/drawing/2014/main" id="{293F16B0-73A2-126A-8A0B-18F1E18CEF33}"/>
            </a:ext>
          </a:extLst>
        </xdr:cNvPr>
        <xdr:cNvSpPr txBox="1"/>
      </xdr:nvSpPr>
      <xdr:spPr>
        <a:xfrm>
          <a:off x="268732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Contas</a:t>
          </a:r>
        </a:p>
      </xdr:txBody>
    </xdr:sp>
    <xdr:clientData/>
  </xdr:twoCellAnchor>
  <xdr:twoCellAnchor editAs="absolute">
    <xdr:from>
      <xdr:col>4</xdr:col>
      <xdr:colOff>571500</xdr:colOff>
      <xdr:row>1</xdr:row>
      <xdr:rowOff>57150</xdr:rowOff>
    </xdr:from>
    <xdr:to>
      <xdr:col>4</xdr:col>
      <xdr:colOff>1257300</xdr:colOff>
      <xdr:row>1</xdr:row>
      <xdr:rowOff>361950</xdr:rowOff>
    </xdr:to>
    <xdr:sp macro="[0]!Navegar" textlink="">
      <xdr:nvSpPr>
        <xdr:cNvPr id="15" name="nav_4">
          <a:extLst>
            <a:ext uri="{FF2B5EF4-FFF2-40B4-BE49-F238E27FC236}">
              <a16:creationId xmlns:a16="http://schemas.microsoft.com/office/drawing/2014/main" id="{74E20E16-33B5-ACF4-BF5C-5F2FA7725A8A}"/>
            </a:ext>
          </a:extLst>
        </xdr:cNvPr>
        <xdr:cNvSpPr txBox="1"/>
      </xdr:nvSpPr>
      <xdr:spPr>
        <a:xfrm>
          <a:off x="3505200" y="609600"/>
          <a:ext cx="6858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Metas</a:t>
          </a:r>
        </a:p>
      </xdr:txBody>
    </xdr:sp>
    <xdr:clientData/>
  </xdr:twoCellAnchor>
  <xdr:twoCellAnchor editAs="absolute">
    <xdr:from>
      <xdr:col>4</xdr:col>
      <xdr:colOff>1333500</xdr:colOff>
      <xdr:row>1</xdr:row>
      <xdr:rowOff>107950</xdr:rowOff>
    </xdr:from>
    <xdr:to>
      <xdr:col>4</xdr:col>
      <xdr:colOff>1333500</xdr:colOff>
      <xdr:row>1</xdr:row>
      <xdr:rowOff>311150</xdr:rowOff>
    </xdr:to>
    <xdr:cxnSp macro="">
      <xdr:nvCxnSpPr>
        <xdr:cNvPr id="16" name="navSep">
          <a:extLst>
            <a:ext uri="{FF2B5EF4-FFF2-40B4-BE49-F238E27FC236}">
              <a16:creationId xmlns:a16="http://schemas.microsoft.com/office/drawing/2014/main" id="{617E670E-C0D4-E192-AF33-7A682EEC9EEB}"/>
            </a:ext>
          </a:extLst>
        </xdr:cNvPr>
        <xdr:cNvCxnSpPr/>
      </xdr:nvCxnSpPr>
      <xdr:spPr>
        <a:xfrm>
          <a:off x="4267200" y="660400"/>
          <a:ext cx="0" cy="203200"/>
        </a:xfrm>
        <a:prstGeom prst="line">
          <a:avLst/>
        </a:prstGeom>
        <a:ln>
          <a:solidFill>
            <a:srgbClr val="E2E8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4</xdr:col>
      <xdr:colOff>1409700</xdr:colOff>
      <xdr:row>1</xdr:row>
      <xdr:rowOff>57150</xdr:rowOff>
    </xdr:from>
    <xdr:to>
      <xdr:col>5</xdr:col>
      <xdr:colOff>716280</xdr:colOff>
      <xdr:row>1</xdr:row>
      <xdr:rowOff>361950</xdr:rowOff>
    </xdr:to>
    <xdr:sp macro="[0]!Navegar" textlink="">
      <xdr:nvSpPr>
        <xdr:cNvPr id="17" name="nav_5">
          <a:extLst>
            <a:ext uri="{FF2B5EF4-FFF2-40B4-BE49-F238E27FC236}">
              <a16:creationId xmlns:a16="http://schemas.microsoft.com/office/drawing/2014/main" id="{D46B6EE3-2625-0F5A-E008-7C839D47C1B0}"/>
            </a:ext>
          </a:extLst>
        </xdr:cNvPr>
        <xdr:cNvSpPr txBox="1"/>
      </xdr:nvSpPr>
      <xdr:spPr>
        <a:xfrm>
          <a:off x="4343400" y="609600"/>
          <a:ext cx="11734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1">
              <a:solidFill>
                <a:srgbClr val="0B1F3A"/>
              </a:solidFill>
              <a:latin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4</xdr:col>
      <xdr:colOff>1485900</xdr:colOff>
      <xdr:row>1</xdr:row>
      <xdr:rowOff>349250</xdr:rowOff>
    </xdr:from>
    <xdr:to>
      <xdr:col>5</xdr:col>
      <xdr:colOff>640080</xdr:colOff>
      <xdr:row>2</xdr:row>
      <xdr:rowOff>6350</xdr:rowOff>
    </xdr:to>
    <xdr:sp macro="" textlink="">
      <xdr:nvSpPr>
        <xdr:cNvPr id="18" name="navAtivo">
          <a:extLst>
            <a:ext uri="{FF2B5EF4-FFF2-40B4-BE49-F238E27FC236}">
              <a16:creationId xmlns:a16="http://schemas.microsoft.com/office/drawing/2014/main" id="{67364521-FCFA-B0CA-1682-3E7119A3A588}"/>
            </a:ext>
          </a:extLst>
        </xdr:cNvPr>
        <xdr:cNvSpPr/>
      </xdr:nvSpPr>
      <xdr:spPr>
        <a:xfrm>
          <a:off x="4419600" y="901700"/>
          <a:ext cx="1021080" cy="38100"/>
        </a:xfrm>
        <a:prstGeom prst="rect">
          <a:avLst/>
        </a:prstGeom>
        <a:solidFill>
          <a:srgbClr val="C9A22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5</xdr:col>
      <xdr:colOff>767080</xdr:colOff>
      <xdr:row>1</xdr:row>
      <xdr:rowOff>57150</xdr:rowOff>
    </xdr:from>
    <xdr:to>
      <xdr:col>5</xdr:col>
      <xdr:colOff>1778000</xdr:colOff>
      <xdr:row>1</xdr:row>
      <xdr:rowOff>361950</xdr:rowOff>
    </xdr:to>
    <xdr:sp macro="[0]!Navegar" textlink="">
      <xdr:nvSpPr>
        <xdr:cNvPr id="19" name="nav_6">
          <a:extLst>
            <a:ext uri="{FF2B5EF4-FFF2-40B4-BE49-F238E27FC236}">
              <a16:creationId xmlns:a16="http://schemas.microsoft.com/office/drawing/2014/main" id="{8A49DBE2-97D7-17CB-06B8-CE0F13D32F9E}"/>
            </a:ext>
          </a:extLst>
        </xdr:cNvPr>
        <xdr:cNvSpPr txBox="1"/>
      </xdr:nvSpPr>
      <xdr:spPr>
        <a:xfrm>
          <a:off x="5567680" y="609600"/>
          <a:ext cx="101092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Orçamento</a:t>
          </a:r>
        </a:p>
      </xdr:txBody>
    </xdr:sp>
    <xdr:clientData/>
  </xdr:twoCellAnchor>
  <xdr:twoCellAnchor editAs="absolute">
    <xdr:from>
      <xdr:col>5</xdr:col>
      <xdr:colOff>1828800</xdr:colOff>
      <xdr:row>1</xdr:row>
      <xdr:rowOff>57150</xdr:rowOff>
    </xdr:from>
    <xdr:to>
      <xdr:col>6</xdr:col>
      <xdr:colOff>328930</xdr:colOff>
      <xdr:row>1</xdr:row>
      <xdr:rowOff>361950</xdr:rowOff>
    </xdr:to>
    <xdr:sp macro="[0]!Navegar" textlink="">
      <xdr:nvSpPr>
        <xdr:cNvPr id="20" name="nav_7">
          <a:extLst>
            <a:ext uri="{FF2B5EF4-FFF2-40B4-BE49-F238E27FC236}">
              <a16:creationId xmlns:a16="http://schemas.microsoft.com/office/drawing/2014/main" id="{243DE014-3B56-72D9-B1D1-6928EB203EC2}"/>
            </a:ext>
          </a:extLst>
        </xdr:cNvPr>
        <xdr:cNvSpPr txBox="1"/>
      </xdr:nvSpPr>
      <xdr:spPr>
        <a:xfrm>
          <a:off x="662940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Rendas</a:t>
          </a:r>
        </a:p>
      </xdr:txBody>
    </xdr:sp>
    <xdr:clientData/>
  </xdr:twoCellAnchor>
  <xdr:twoCellAnchor editAs="absolute">
    <xdr:from>
      <xdr:col>6</xdr:col>
      <xdr:colOff>379730</xdr:colOff>
      <xdr:row>1</xdr:row>
      <xdr:rowOff>57150</xdr:rowOff>
    </xdr:from>
    <xdr:to>
      <xdr:col>7</xdr:col>
      <xdr:colOff>605155</xdr:colOff>
      <xdr:row>1</xdr:row>
      <xdr:rowOff>361950</xdr:rowOff>
    </xdr:to>
    <xdr:sp macro="[0]!Navegar" textlink="">
      <xdr:nvSpPr>
        <xdr:cNvPr id="21" name="nav_8">
          <a:extLst>
            <a:ext uri="{FF2B5EF4-FFF2-40B4-BE49-F238E27FC236}">
              <a16:creationId xmlns:a16="http://schemas.microsoft.com/office/drawing/2014/main" id="{4D567538-A57F-71AD-1B37-F2A5A047872A}"/>
            </a:ext>
          </a:extLst>
        </xdr:cNvPr>
        <xdr:cNvSpPr txBox="1"/>
      </xdr:nvSpPr>
      <xdr:spPr>
        <a:xfrm>
          <a:off x="7447280" y="609600"/>
          <a:ext cx="10922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Categorias</a:t>
          </a:r>
        </a:p>
      </xdr:txBody>
    </xdr:sp>
    <xdr:clientData/>
  </xdr:twoCellAnchor>
  <xdr:twoCellAnchor editAs="absolute">
    <xdr:from>
      <xdr:col>7</xdr:col>
      <xdr:colOff>808355</xdr:colOff>
      <xdr:row>1</xdr:row>
      <xdr:rowOff>69850</xdr:rowOff>
    </xdr:from>
    <xdr:to>
      <xdr:col>9</xdr:col>
      <xdr:colOff>90805</xdr:colOff>
      <xdr:row>1</xdr:row>
      <xdr:rowOff>323850</xdr:rowOff>
    </xdr:to>
    <xdr:sp macro="[0]!AtualizarPainel" textlink="">
      <xdr:nvSpPr>
        <xdr:cNvPr id="22" name="btAtualizarPainel19">
          <a:extLst>
            <a:ext uri="{FF2B5EF4-FFF2-40B4-BE49-F238E27FC236}">
              <a16:creationId xmlns:a16="http://schemas.microsoft.com/office/drawing/2014/main" id="{B6308A74-B140-CE2A-7E62-5692933881B6}"/>
            </a:ext>
          </a:extLst>
        </xdr:cNvPr>
        <xdr:cNvSpPr/>
      </xdr:nvSpPr>
      <xdr:spPr>
        <a:xfrm>
          <a:off x="8742680" y="622300"/>
          <a:ext cx="1016000" cy="254000"/>
        </a:xfrm>
        <a:prstGeom prst="roundRect">
          <a:avLst>
            <a:gd name="adj" fmla="val 20000"/>
          </a:avLst>
        </a:prstGeom>
        <a:solidFill>
          <a:srgbClr val="FFFFFF"/>
        </a:solidFill>
        <a:ln w="9525">
          <a:solidFill>
            <a:srgbClr val="E2E8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850" b="1">
              <a:solidFill>
                <a:srgbClr val="2A6FB8"/>
              </a:solidFill>
              <a:latin typeface="Segoe UI" panose="020B0502040204020203" pitchFamily="34" charset="0"/>
            </a:rPr>
            <a:t>Atualizar</a:t>
          </a:r>
        </a:p>
      </xdr:txBody>
    </xdr:sp>
    <xdr:clientData/>
  </xdr:twoCellAnchor>
  <xdr:twoCellAnchor editAs="absolute">
    <xdr:from>
      <xdr:col>0</xdr:col>
      <xdr:colOff>152400</xdr:colOff>
      <xdr:row>2</xdr:row>
      <xdr:rowOff>69850</xdr:rowOff>
    </xdr:from>
    <xdr:to>
      <xdr:col>3</xdr:col>
      <xdr:colOff>831850</xdr:colOff>
      <xdr:row>2</xdr:row>
      <xdr:rowOff>400050</xdr:rowOff>
    </xdr:to>
    <xdr:sp macro="[0]!ImportarExtrato" textlink="">
      <xdr:nvSpPr>
        <xdr:cNvPr id="42" name="btImportarExtrato20">
          <a:extLst>
            <a:ext uri="{FF2B5EF4-FFF2-40B4-BE49-F238E27FC236}">
              <a16:creationId xmlns:a16="http://schemas.microsoft.com/office/drawing/2014/main" id="{D89BA8D9-0233-4E8A-17B8-3082F3339EEA}"/>
            </a:ext>
          </a:extLst>
        </xdr:cNvPr>
        <xdr:cNvSpPr/>
      </xdr:nvSpPr>
      <xdr:spPr>
        <a:xfrm>
          <a:off x="152400" y="1003300"/>
          <a:ext cx="2413000" cy="330200"/>
        </a:xfrm>
        <a:prstGeom prst="roundRect">
          <a:avLst>
            <a:gd name="adj" fmla="val 20000"/>
          </a:avLst>
        </a:prstGeom>
        <a:solidFill>
          <a:srgbClr val="2A6FB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900" b="1">
              <a:solidFill>
                <a:srgbClr val="FFFFFF"/>
              </a:solidFill>
              <a:latin typeface="Segoe UI" panose="020B0502040204020203" pitchFamily="34" charset="0"/>
            </a:rPr>
            <a:t>Importar extrato (Python)</a:t>
          </a:r>
        </a:p>
      </xdr:txBody>
    </xdr:sp>
    <xdr:clientData/>
  </xdr:twoCellAnchor>
  <xdr:twoCellAnchor editAs="absolute">
    <xdr:from>
      <xdr:col>3</xdr:col>
      <xdr:colOff>933450</xdr:colOff>
      <xdr:row>2</xdr:row>
      <xdr:rowOff>69850</xdr:rowOff>
    </xdr:from>
    <xdr:to>
      <xdr:col>5</xdr:col>
      <xdr:colOff>25400</xdr:colOff>
      <xdr:row>2</xdr:row>
      <xdr:rowOff>400050</xdr:rowOff>
    </xdr:to>
    <xdr:sp macro="[0]!AuditarDados" textlink="">
      <xdr:nvSpPr>
        <xdr:cNvPr id="43" name="btAuditarDados21">
          <a:extLst>
            <a:ext uri="{FF2B5EF4-FFF2-40B4-BE49-F238E27FC236}">
              <a16:creationId xmlns:a16="http://schemas.microsoft.com/office/drawing/2014/main" id="{E8633D54-B57A-2F10-4E16-06F4CCC6443B}"/>
            </a:ext>
          </a:extLst>
        </xdr:cNvPr>
        <xdr:cNvSpPr/>
      </xdr:nvSpPr>
      <xdr:spPr>
        <a:xfrm>
          <a:off x="2667000" y="1003300"/>
          <a:ext cx="2159000" cy="330200"/>
        </a:xfrm>
        <a:prstGeom prst="roundRect">
          <a:avLst>
            <a:gd name="adj" fmla="val 20000"/>
          </a:avLst>
        </a:prstGeom>
        <a:solidFill>
          <a:srgbClr val="FFFFFF"/>
        </a:solidFill>
        <a:ln w="9525">
          <a:solidFill>
            <a:srgbClr val="E2E8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900" b="1">
              <a:solidFill>
                <a:srgbClr val="1A202C"/>
              </a:solidFill>
              <a:latin typeface="Segoe UI" panose="020B0502040204020203" pitchFamily="34" charset="0"/>
            </a:rPr>
            <a:t>Auditar dados (Python)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20</xdr:col>
      <xdr:colOff>285750</xdr:colOff>
      <xdr:row>1</xdr:row>
      <xdr:rowOff>6350</xdr:rowOff>
    </xdr:to>
    <xdr:sp macro="" textlink="">
      <xdr:nvSpPr>
        <xdr:cNvPr id="4" name="cabFundo">
          <a:extLst>
            <a:ext uri="{FF2B5EF4-FFF2-40B4-BE49-F238E27FC236}">
              <a16:creationId xmlns:a16="http://schemas.microsoft.com/office/drawing/2014/main" id="{7134E79A-DF45-BD56-F6F5-E3D92DE1B7E6}"/>
            </a:ext>
          </a:extLst>
        </xdr:cNvPr>
        <xdr:cNvSpPr/>
      </xdr:nvSpPr>
      <xdr:spPr>
        <a:xfrm>
          <a:off x="0" y="0"/>
          <a:ext cx="16192500" cy="558800"/>
        </a:xfrm>
        <a:prstGeom prst="rect">
          <a:avLst/>
        </a:prstGeom>
        <a:solidFill>
          <a:srgbClr val="0B1F3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228600</xdr:colOff>
      <xdr:row>0</xdr:row>
      <xdr:rowOff>76200</xdr:rowOff>
    </xdr:from>
    <xdr:to>
      <xdr:col>3</xdr:col>
      <xdr:colOff>238125</xdr:colOff>
      <xdr:row>0</xdr:row>
      <xdr:rowOff>330200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4E6F7834-CE0F-59D3-E614-9052F09B7FCC}"/>
            </a:ext>
          </a:extLst>
        </xdr:cNvPr>
        <xdr:cNvSpPr txBox="1"/>
      </xdr:nvSpPr>
      <xdr:spPr>
        <a:xfrm>
          <a:off x="228600" y="76200"/>
          <a:ext cx="3810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r>
            <a:rPr lang="pt-BR" sz="1400" b="1">
              <a:solidFill>
                <a:srgbClr val="FFFFFF"/>
              </a:solidFill>
              <a:latin typeface="Segoe UI" panose="020B0502040204020203" pitchFamily="34" charset="0"/>
            </a:rPr>
            <a:t>Casa Organizada</a:t>
          </a:r>
        </a:p>
      </xdr:txBody>
    </xdr:sp>
    <xdr:clientData/>
  </xdr:twoCellAnchor>
  <xdr:twoCellAnchor editAs="absolute">
    <xdr:from>
      <xdr:col>0</xdr:col>
      <xdr:colOff>228600</xdr:colOff>
      <xdr:row>0</xdr:row>
      <xdr:rowOff>330200</xdr:rowOff>
    </xdr:from>
    <xdr:to>
      <xdr:col>3</xdr:col>
      <xdr:colOff>238125</xdr:colOff>
      <xdr:row>0</xdr:row>
      <xdr:rowOff>482600</xdr:rowOff>
    </xdr:to>
    <xdr:sp macro="" textlink="Calc!$C$58">
      <xdr:nvSpPr>
        <xdr:cNvPr id="6" name="cabPeriodo">
          <a:extLst>
            <a:ext uri="{FF2B5EF4-FFF2-40B4-BE49-F238E27FC236}">
              <a16:creationId xmlns:a16="http://schemas.microsoft.com/office/drawing/2014/main" id="{ABFC0862-1BA9-01ED-4C94-64D043C38AE9}"/>
            </a:ext>
          </a:extLst>
        </xdr:cNvPr>
        <xdr:cNvSpPr txBox="1"/>
      </xdr:nvSpPr>
      <xdr:spPr>
        <a:xfrm>
          <a:off x="228600" y="330200"/>
          <a:ext cx="38100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7A6AC675-0ECC-4A69-A215-BD97BA388C99}" type="TxLink">
            <a:rPr lang="en-US" sz="850" b="0" i="0" u="none" strike="noStrike">
              <a:solidFill>
                <a:srgbClr val="A5B4C8"/>
              </a:solidFill>
              <a:latin typeface="Segoe UI" panose="020B0502040204020203" pitchFamily="34" charset="0"/>
              <a:ea typeface="Calibri"/>
              <a:cs typeface="Calibri"/>
            </a:rPr>
            <a:pPr/>
            <a:t>JAN de 2025</a:t>
          </a:fld>
          <a:endParaRPr lang="pt-BR" sz="850" b="0">
            <a:solidFill>
              <a:srgbClr val="A5B4C8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1374775</xdr:colOff>
      <xdr:row>0</xdr:row>
      <xdr:rowOff>203200</xdr:rowOff>
    </xdr:from>
    <xdr:to>
      <xdr:col>6</xdr:col>
      <xdr:colOff>476250</xdr:colOff>
      <xdr:row>0</xdr:row>
      <xdr:rowOff>381000</xdr:rowOff>
    </xdr:to>
    <xdr:sp macro="" textlink="Calc!$C$56">
      <xdr:nvSpPr>
        <xdr:cNvPr id="7" name="chipStatus">
          <a:extLst>
            <a:ext uri="{FF2B5EF4-FFF2-40B4-BE49-F238E27FC236}">
              <a16:creationId xmlns:a16="http://schemas.microsoft.com/office/drawing/2014/main" id="{C69F07ED-B46E-EBBC-4D53-7F07C04DAF7D}"/>
            </a:ext>
          </a:extLst>
        </xdr:cNvPr>
        <xdr:cNvSpPr txBox="1"/>
      </xdr:nvSpPr>
      <xdr:spPr>
        <a:xfrm>
          <a:off x="3175000" y="203200"/>
          <a:ext cx="330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350CB791-6554-420C-AC7E-08FF5A73A81E}" type="TxLink">
            <a:rPr lang="en-US" sz="900" b="1" i="0" u="none" strike="noStrike">
              <a:solidFill>
                <a:srgbClr val="86EFAC"/>
              </a:solidFill>
              <a:latin typeface="Segoe UI" panose="020B0502040204020203" pitchFamily="34" charset="0"/>
              <a:ea typeface="Calibri"/>
              <a:cs typeface="Calibri"/>
            </a:rPr>
            <a:pPr/>
            <a:t>✓ Dados consistentes</a:t>
          </a:fld>
          <a:endParaRPr lang="pt-BR" sz="900" b="1">
            <a:solidFill>
              <a:srgbClr val="86EFAC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10</xdr:col>
      <xdr:colOff>463550</xdr:colOff>
      <xdr:row>0</xdr:row>
      <xdr:rowOff>114300</xdr:rowOff>
    </xdr:from>
    <xdr:to>
      <xdr:col>12</xdr:col>
      <xdr:colOff>673100</xdr:colOff>
      <xdr:row>0</xdr:row>
      <xdr:rowOff>444500</xdr:rowOff>
    </xdr:to>
    <xdr:sp macro="[0]!IrCadastro" textlink="">
      <xdr:nvSpPr>
        <xdr:cNvPr id="8" name="btIrCadastro5">
          <a:extLst>
            <a:ext uri="{FF2B5EF4-FFF2-40B4-BE49-F238E27FC236}">
              <a16:creationId xmlns:a16="http://schemas.microsoft.com/office/drawing/2014/main" id="{379A73FE-3C9B-1152-2AED-1C53C41C9B1E}"/>
            </a:ext>
          </a:extLst>
        </xdr:cNvPr>
        <xdr:cNvSpPr/>
      </xdr:nvSpPr>
      <xdr:spPr>
        <a:xfrm>
          <a:off x="9398000" y="114300"/>
          <a:ext cx="1676400" cy="330200"/>
        </a:xfrm>
        <a:prstGeom prst="roundRect">
          <a:avLst>
            <a:gd name="adj" fmla="val 20000"/>
          </a:avLst>
        </a:prstGeom>
        <a:solidFill>
          <a:srgbClr val="C9A22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950" b="1">
              <a:solidFill>
                <a:srgbClr val="0B1F3A"/>
              </a:solidFill>
              <a:latin typeface="Segoe UI" panose="020B0502040204020203" pitchFamily="34" charset="0"/>
            </a:rPr>
            <a:t>+ Lançar gasto</a:t>
          </a:r>
        </a:p>
      </xdr:txBody>
    </xdr:sp>
    <xdr:clientData/>
  </xdr:twoCellAnchor>
  <xdr:twoCellAnchor editAs="absolute">
    <xdr:from>
      <xdr:col>0</xdr:col>
      <xdr:colOff>0</xdr:colOff>
      <xdr:row>1</xdr:row>
      <xdr:rowOff>6350</xdr:rowOff>
    </xdr:from>
    <xdr:to>
      <xdr:col>20</xdr:col>
      <xdr:colOff>285750</xdr:colOff>
      <xdr:row>2</xdr:row>
      <xdr:rowOff>6350</xdr:rowOff>
    </xdr:to>
    <xdr:sp macro="" textlink="">
      <xdr:nvSpPr>
        <xdr:cNvPr id="9" name="navFundo">
          <a:extLst>
            <a:ext uri="{FF2B5EF4-FFF2-40B4-BE49-F238E27FC236}">
              <a16:creationId xmlns:a16="http://schemas.microsoft.com/office/drawing/2014/main" id="{1529D22F-3FC9-1D08-C9E9-772A9B326BA1}"/>
            </a:ext>
          </a:extLst>
        </xdr:cNvPr>
        <xdr:cNvSpPr/>
      </xdr:nvSpPr>
      <xdr:spPr>
        <a:xfrm>
          <a:off x="0" y="558800"/>
          <a:ext cx="16192500" cy="3810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0</xdr:colOff>
      <xdr:row>2</xdr:row>
      <xdr:rowOff>6350</xdr:rowOff>
    </xdr:from>
    <xdr:to>
      <xdr:col>20</xdr:col>
      <xdr:colOff>285750</xdr:colOff>
      <xdr:row>2</xdr:row>
      <xdr:rowOff>6350</xdr:rowOff>
    </xdr:to>
    <xdr:cxnSp macro="">
      <xdr:nvCxnSpPr>
        <xdr:cNvPr id="10" name="navLinha">
          <a:extLst>
            <a:ext uri="{FF2B5EF4-FFF2-40B4-BE49-F238E27FC236}">
              <a16:creationId xmlns:a16="http://schemas.microsoft.com/office/drawing/2014/main" id="{EC3E99FB-BCB0-E6BE-5CF8-16DFEBDD156C}"/>
            </a:ext>
          </a:extLst>
        </xdr:cNvPr>
        <xdr:cNvCxnSpPr/>
      </xdr:nvCxnSpPr>
      <xdr:spPr>
        <a:xfrm>
          <a:off x="0" y="939800"/>
          <a:ext cx="16192500" cy="0"/>
        </a:xfrm>
        <a:prstGeom prst="line">
          <a:avLst/>
        </a:prstGeom>
        <a:ln>
          <a:solidFill>
            <a:srgbClr val="E2E8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152400</xdr:colOff>
      <xdr:row>1</xdr:row>
      <xdr:rowOff>57150</xdr:rowOff>
    </xdr:from>
    <xdr:to>
      <xdr:col>1</xdr:col>
      <xdr:colOff>319405</xdr:colOff>
      <xdr:row>1</xdr:row>
      <xdr:rowOff>361950</xdr:rowOff>
    </xdr:to>
    <xdr:sp macro="[0]!Navegar" textlink="">
      <xdr:nvSpPr>
        <xdr:cNvPr id="11" name="nav_0">
          <a:extLst>
            <a:ext uri="{FF2B5EF4-FFF2-40B4-BE49-F238E27FC236}">
              <a16:creationId xmlns:a16="http://schemas.microsoft.com/office/drawing/2014/main" id="{DC5638A1-93DD-97E7-273A-A546E8A1F456}"/>
            </a:ext>
          </a:extLst>
        </xdr:cNvPr>
        <xdr:cNvSpPr txBox="1"/>
      </xdr:nvSpPr>
      <xdr:spPr>
        <a:xfrm>
          <a:off x="15240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Painel</a:t>
          </a:r>
        </a:p>
      </xdr:txBody>
    </xdr:sp>
    <xdr:clientData/>
  </xdr:twoCellAnchor>
  <xdr:twoCellAnchor editAs="absolute">
    <xdr:from>
      <xdr:col>1</xdr:col>
      <xdr:colOff>370205</xdr:colOff>
      <xdr:row>1</xdr:row>
      <xdr:rowOff>57150</xdr:rowOff>
    </xdr:from>
    <xdr:to>
      <xdr:col>2</xdr:col>
      <xdr:colOff>18415</xdr:colOff>
      <xdr:row>1</xdr:row>
      <xdr:rowOff>361950</xdr:rowOff>
    </xdr:to>
    <xdr:sp macro="[0]!Navegar" textlink="">
      <xdr:nvSpPr>
        <xdr:cNvPr id="12" name="nav_1">
          <a:extLst>
            <a:ext uri="{FF2B5EF4-FFF2-40B4-BE49-F238E27FC236}">
              <a16:creationId xmlns:a16="http://schemas.microsoft.com/office/drawing/2014/main" id="{ED6E9E5B-890D-6731-68F1-9C62F252E191}"/>
            </a:ext>
          </a:extLst>
        </xdr:cNvPr>
        <xdr:cNvSpPr txBox="1"/>
      </xdr:nvSpPr>
      <xdr:spPr>
        <a:xfrm>
          <a:off x="970280" y="609600"/>
          <a:ext cx="84836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Análise</a:t>
          </a:r>
        </a:p>
      </xdr:txBody>
    </xdr:sp>
    <xdr:clientData/>
  </xdr:twoCellAnchor>
  <xdr:twoCellAnchor editAs="absolute">
    <xdr:from>
      <xdr:col>2</xdr:col>
      <xdr:colOff>69215</xdr:colOff>
      <xdr:row>1</xdr:row>
      <xdr:rowOff>57150</xdr:rowOff>
    </xdr:from>
    <xdr:to>
      <xdr:col>2</xdr:col>
      <xdr:colOff>836295</xdr:colOff>
      <xdr:row>1</xdr:row>
      <xdr:rowOff>361950</xdr:rowOff>
    </xdr:to>
    <xdr:sp macro="[0]!Navegar" textlink="">
      <xdr:nvSpPr>
        <xdr:cNvPr id="13" name="nav_2">
          <a:extLst>
            <a:ext uri="{FF2B5EF4-FFF2-40B4-BE49-F238E27FC236}">
              <a16:creationId xmlns:a16="http://schemas.microsoft.com/office/drawing/2014/main" id="{217E181A-EF85-3519-AA00-D03D59620B40}"/>
            </a:ext>
          </a:extLst>
        </xdr:cNvPr>
        <xdr:cNvSpPr txBox="1"/>
      </xdr:nvSpPr>
      <xdr:spPr>
        <a:xfrm>
          <a:off x="186944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Lançar</a:t>
          </a:r>
        </a:p>
      </xdr:txBody>
    </xdr:sp>
    <xdr:clientData/>
  </xdr:twoCellAnchor>
  <xdr:twoCellAnchor editAs="absolute">
    <xdr:from>
      <xdr:col>2</xdr:col>
      <xdr:colOff>887095</xdr:colOff>
      <xdr:row>1</xdr:row>
      <xdr:rowOff>57150</xdr:rowOff>
    </xdr:from>
    <xdr:to>
      <xdr:col>2</xdr:col>
      <xdr:colOff>1654175</xdr:colOff>
      <xdr:row>1</xdr:row>
      <xdr:rowOff>361950</xdr:rowOff>
    </xdr:to>
    <xdr:sp macro="[0]!Navegar" textlink="">
      <xdr:nvSpPr>
        <xdr:cNvPr id="14" name="nav_3">
          <a:extLst>
            <a:ext uri="{FF2B5EF4-FFF2-40B4-BE49-F238E27FC236}">
              <a16:creationId xmlns:a16="http://schemas.microsoft.com/office/drawing/2014/main" id="{A6528EB8-8E91-B950-8D88-5FA16767C698}"/>
            </a:ext>
          </a:extLst>
        </xdr:cNvPr>
        <xdr:cNvSpPr txBox="1"/>
      </xdr:nvSpPr>
      <xdr:spPr>
        <a:xfrm>
          <a:off x="268732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Contas</a:t>
          </a:r>
        </a:p>
      </xdr:txBody>
    </xdr:sp>
    <xdr:clientData/>
  </xdr:twoCellAnchor>
  <xdr:twoCellAnchor editAs="absolute">
    <xdr:from>
      <xdr:col>2</xdr:col>
      <xdr:colOff>1704975</xdr:colOff>
      <xdr:row>1</xdr:row>
      <xdr:rowOff>57150</xdr:rowOff>
    </xdr:from>
    <xdr:to>
      <xdr:col>3</xdr:col>
      <xdr:colOff>390525</xdr:colOff>
      <xdr:row>1</xdr:row>
      <xdr:rowOff>361950</xdr:rowOff>
    </xdr:to>
    <xdr:sp macro="[0]!Navegar" textlink="">
      <xdr:nvSpPr>
        <xdr:cNvPr id="15" name="nav_4">
          <a:extLst>
            <a:ext uri="{FF2B5EF4-FFF2-40B4-BE49-F238E27FC236}">
              <a16:creationId xmlns:a16="http://schemas.microsoft.com/office/drawing/2014/main" id="{25D1C8D5-54D4-0841-50F1-AC54211A0DBF}"/>
            </a:ext>
          </a:extLst>
        </xdr:cNvPr>
        <xdr:cNvSpPr txBox="1"/>
      </xdr:nvSpPr>
      <xdr:spPr>
        <a:xfrm>
          <a:off x="3505200" y="609600"/>
          <a:ext cx="6858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Metas</a:t>
          </a:r>
        </a:p>
      </xdr:txBody>
    </xdr:sp>
    <xdr:clientData/>
  </xdr:twoCellAnchor>
  <xdr:twoCellAnchor editAs="absolute">
    <xdr:from>
      <xdr:col>3</xdr:col>
      <xdr:colOff>466725</xdr:colOff>
      <xdr:row>1</xdr:row>
      <xdr:rowOff>107950</xdr:rowOff>
    </xdr:from>
    <xdr:to>
      <xdr:col>3</xdr:col>
      <xdr:colOff>466725</xdr:colOff>
      <xdr:row>1</xdr:row>
      <xdr:rowOff>311150</xdr:rowOff>
    </xdr:to>
    <xdr:cxnSp macro="">
      <xdr:nvCxnSpPr>
        <xdr:cNvPr id="16" name="navSep">
          <a:extLst>
            <a:ext uri="{FF2B5EF4-FFF2-40B4-BE49-F238E27FC236}">
              <a16:creationId xmlns:a16="http://schemas.microsoft.com/office/drawing/2014/main" id="{77AFE8A7-F70D-F725-F925-6CD2A235603C}"/>
            </a:ext>
          </a:extLst>
        </xdr:cNvPr>
        <xdr:cNvCxnSpPr/>
      </xdr:nvCxnSpPr>
      <xdr:spPr>
        <a:xfrm>
          <a:off x="4267200" y="660400"/>
          <a:ext cx="0" cy="203200"/>
        </a:xfrm>
        <a:prstGeom prst="line">
          <a:avLst/>
        </a:prstGeom>
        <a:ln>
          <a:solidFill>
            <a:srgbClr val="E2E8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542925</xdr:colOff>
      <xdr:row>1</xdr:row>
      <xdr:rowOff>57150</xdr:rowOff>
    </xdr:from>
    <xdr:to>
      <xdr:col>5</xdr:col>
      <xdr:colOff>249555</xdr:colOff>
      <xdr:row>1</xdr:row>
      <xdr:rowOff>361950</xdr:rowOff>
    </xdr:to>
    <xdr:sp macro="[0]!Navegar" textlink="">
      <xdr:nvSpPr>
        <xdr:cNvPr id="17" name="nav_5">
          <a:extLst>
            <a:ext uri="{FF2B5EF4-FFF2-40B4-BE49-F238E27FC236}">
              <a16:creationId xmlns:a16="http://schemas.microsoft.com/office/drawing/2014/main" id="{D9019C02-360A-E18A-5D30-EB34AB0D655C}"/>
            </a:ext>
          </a:extLst>
        </xdr:cNvPr>
        <xdr:cNvSpPr txBox="1"/>
      </xdr:nvSpPr>
      <xdr:spPr>
        <a:xfrm>
          <a:off x="4343400" y="609600"/>
          <a:ext cx="11734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5</xdr:col>
      <xdr:colOff>300355</xdr:colOff>
      <xdr:row>1</xdr:row>
      <xdr:rowOff>57150</xdr:rowOff>
    </xdr:from>
    <xdr:to>
      <xdr:col>6</xdr:col>
      <xdr:colOff>577850</xdr:colOff>
      <xdr:row>1</xdr:row>
      <xdr:rowOff>361950</xdr:rowOff>
    </xdr:to>
    <xdr:sp macro="[0]!Navegar" textlink="">
      <xdr:nvSpPr>
        <xdr:cNvPr id="18" name="nav_6">
          <a:extLst>
            <a:ext uri="{FF2B5EF4-FFF2-40B4-BE49-F238E27FC236}">
              <a16:creationId xmlns:a16="http://schemas.microsoft.com/office/drawing/2014/main" id="{CE5B2C87-AE16-F45B-BF06-E02EEB4C94E8}"/>
            </a:ext>
          </a:extLst>
        </xdr:cNvPr>
        <xdr:cNvSpPr txBox="1"/>
      </xdr:nvSpPr>
      <xdr:spPr>
        <a:xfrm>
          <a:off x="5567680" y="609600"/>
          <a:ext cx="101092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1">
              <a:solidFill>
                <a:srgbClr val="0B1F3A"/>
              </a:solidFill>
              <a:latin typeface="Segoe UI" panose="020B0502040204020203" pitchFamily="34" charset="0"/>
            </a:rPr>
            <a:t>Orçamento</a:t>
          </a:r>
        </a:p>
      </xdr:txBody>
    </xdr:sp>
    <xdr:clientData/>
  </xdr:twoCellAnchor>
  <xdr:twoCellAnchor editAs="absolute">
    <xdr:from>
      <xdr:col>5</xdr:col>
      <xdr:colOff>376555</xdr:colOff>
      <xdr:row>1</xdr:row>
      <xdr:rowOff>349250</xdr:rowOff>
    </xdr:from>
    <xdr:to>
      <xdr:col>6</xdr:col>
      <xdr:colOff>501650</xdr:colOff>
      <xdr:row>2</xdr:row>
      <xdr:rowOff>6350</xdr:rowOff>
    </xdr:to>
    <xdr:sp macro="" textlink="">
      <xdr:nvSpPr>
        <xdr:cNvPr id="19" name="navAtivo">
          <a:extLst>
            <a:ext uri="{FF2B5EF4-FFF2-40B4-BE49-F238E27FC236}">
              <a16:creationId xmlns:a16="http://schemas.microsoft.com/office/drawing/2014/main" id="{07D0E03F-5353-68B8-83FD-83E369F704F6}"/>
            </a:ext>
          </a:extLst>
        </xdr:cNvPr>
        <xdr:cNvSpPr/>
      </xdr:nvSpPr>
      <xdr:spPr>
        <a:xfrm>
          <a:off x="5643880" y="901700"/>
          <a:ext cx="858520" cy="38100"/>
        </a:xfrm>
        <a:prstGeom prst="rect">
          <a:avLst/>
        </a:prstGeom>
        <a:solidFill>
          <a:srgbClr val="C9A22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6</xdr:col>
      <xdr:colOff>628650</xdr:colOff>
      <xdr:row>1</xdr:row>
      <xdr:rowOff>57150</xdr:rowOff>
    </xdr:from>
    <xdr:to>
      <xdr:col>7</xdr:col>
      <xdr:colOff>662305</xdr:colOff>
      <xdr:row>1</xdr:row>
      <xdr:rowOff>361950</xdr:rowOff>
    </xdr:to>
    <xdr:sp macro="[0]!Navegar" textlink="">
      <xdr:nvSpPr>
        <xdr:cNvPr id="20" name="nav_7">
          <a:extLst>
            <a:ext uri="{FF2B5EF4-FFF2-40B4-BE49-F238E27FC236}">
              <a16:creationId xmlns:a16="http://schemas.microsoft.com/office/drawing/2014/main" id="{0256CC4E-50E9-8E9F-E3AF-E04696561E16}"/>
            </a:ext>
          </a:extLst>
        </xdr:cNvPr>
        <xdr:cNvSpPr txBox="1"/>
      </xdr:nvSpPr>
      <xdr:spPr>
        <a:xfrm>
          <a:off x="662940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Rendas</a:t>
          </a:r>
        </a:p>
      </xdr:txBody>
    </xdr:sp>
    <xdr:clientData/>
  </xdr:twoCellAnchor>
  <xdr:twoCellAnchor editAs="absolute">
    <xdr:from>
      <xdr:col>7</xdr:col>
      <xdr:colOff>713105</xdr:colOff>
      <xdr:row>1</xdr:row>
      <xdr:rowOff>57150</xdr:rowOff>
    </xdr:from>
    <xdr:to>
      <xdr:col>9</xdr:col>
      <xdr:colOff>338455</xdr:colOff>
      <xdr:row>1</xdr:row>
      <xdr:rowOff>361950</xdr:rowOff>
    </xdr:to>
    <xdr:sp macro="[0]!Navegar" textlink="">
      <xdr:nvSpPr>
        <xdr:cNvPr id="21" name="nav_8">
          <a:extLst>
            <a:ext uri="{FF2B5EF4-FFF2-40B4-BE49-F238E27FC236}">
              <a16:creationId xmlns:a16="http://schemas.microsoft.com/office/drawing/2014/main" id="{FE586274-C663-13A4-DBCA-8F54DEBAEF53}"/>
            </a:ext>
          </a:extLst>
        </xdr:cNvPr>
        <xdr:cNvSpPr txBox="1"/>
      </xdr:nvSpPr>
      <xdr:spPr>
        <a:xfrm>
          <a:off x="7447280" y="609600"/>
          <a:ext cx="10922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Categorias</a:t>
          </a:r>
        </a:p>
      </xdr:txBody>
    </xdr:sp>
    <xdr:clientData/>
  </xdr:twoCellAnchor>
  <xdr:twoCellAnchor editAs="absolute">
    <xdr:from>
      <xdr:col>9</xdr:col>
      <xdr:colOff>541655</xdr:colOff>
      <xdr:row>1</xdr:row>
      <xdr:rowOff>69850</xdr:rowOff>
    </xdr:from>
    <xdr:to>
      <xdr:col>11</xdr:col>
      <xdr:colOff>90805</xdr:colOff>
      <xdr:row>1</xdr:row>
      <xdr:rowOff>323850</xdr:rowOff>
    </xdr:to>
    <xdr:sp macro="[0]!AtualizarPainel" textlink="">
      <xdr:nvSpPr>
        <xdr:cNvPr id="22" name="btAtualizarPainel19">
          <a:extLst>
            <a:ext uri="{FF2B5EF4-FFF2-40B4-BE49-F238E27FC236}">
              <a16:creationId xmlns:a16="http://schemas.microsoft.com/office/drawing/2014/main" id="{BC7FB480-81A8-EE75-07F4-FE2D66C7B30D}"/>
            </a:ext>
          </a:extLst>
        </xdr:cNvPr>
        <xdr:cNvSpPr/>
      </xdr:nvSpPr>
      <xdr:spPr>
        <a:xfrm>
          <a:off x="8742680" y="622300"/>
          <a:ext cx="1016000" cy="254000"/>
        </a:xfrm>
        <a:prstGeom prst="roundRect">
          <a:avLst>
            <a:gd name="adj" fmla="val 20000"/>
          </a:avLst>
        </a:prstGeom>
        <a:solidFill>
          <a:srgbClr val="FFFFFF"/>
        </a:solidFill>
        <a:ln w="9525">
          <a:solidFill>
            <a:srgbClr val="E2E8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850" b="1">
              <a:solidFill>
                <a:srgbClr val="2A6FB8"/>
              </a:solidFill>
              <a:latin typeface="Segoe UI" panose="020B0502040204020203" pitchFamily="34" charset="0"/>
            </a:rPr>
            <a:t>Atualizar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21</xdr:col>
      <xdr:colOff>295275</xdr:colOff>
      <xdr:row>1</xdr:row>
      <xdr:rowOff>6350</xdr:rowOff>
    </xdr:to>
    <xdr:sp macro="" textlink="">
      <xdr:nvSpPr>
        <xdr:cNvPr id="4" name="cabFundo">
          <a:extLst>
            <a:ext uri="{FF2B5EF4-FFF2-40B4-BE49-F238E27FC236}">
              <a16:creationId xmlns:a16="http://schemas.microsoft.com/office/drawing/2014/main" id="{61967F7E-3A65-EC54-BB3F-CDA67FFED50C}"/>
            </a:ext>
          </a:extLst>
        </xdr:cNvPr>
        <xdr:cNvSpPr/>
      </xdr:nvSpPr>
      <xdr:spPr>
        <a:xfrm>
          <a:off x="0" y="0"/>
          <a:ext cx="16192500" cy="558800"/>
        </a:xfrm>
        <a:prstGeom prst="rect">
          <a:avLst/>
        </a:prstGeom>
        <a:solidFill>
          <a:srgbClr val="0B1F3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228600</xdr:colOff>
      <xdr:row>0</xdr:row>
      <xdr:rowOff>76200</xdr:rowOff>
    </xdr:from>
    <xdr:to>
      <xdr:col>3</xdr:col>
      <xdr:colOff>838200</xdr:colOff>
      <xdr:row>0</xdr:row>
      <xdr:rowOff>330200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CE05E01F-2738-9E86-EC07-76EB9956DC0F}"/>
            </a:ext>
          </a:extLst>
        </xdr:cNvPr>
        <xdr:cNvSpPr txBox="1"/>
      </xdr:nvSpPr>
      <xdr:spPr>
        <a:xfrm>
          <a:off x="228600" y="76200"/>
          <a:ext cx="3810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r>
            <a:rPr lang="pt-BR" sz="1400" b="1">
              <a:solidFill>
                <a:srgbClr val="FFFFFF"/>
              </a:solidFill>
              <a:latin typeface="Segoe UI" panose="020B0502040204020203" pitchFamily="34" charset="0"/>
            </a:rPr>
            <a:t>Casa Organizada</a:t>
          </a:r>
        </a:p>
      </xdr:txBody>
    </xdr:sp>
    <xdr:clientData/>
  </xdr:twoCellAnchor>
  <xdr:twoCellAnchor editAs="absolute">
    <xdr:from>
      <xdr:col>0</xdr:col>
      <xdr:colOff>228600</xdr:colOff>
      <xdr:row>0</xdr:row>
      <xdr:rowOff>330200</xdr:rowOff>
    </xdr:from>
    <xdr:to>
      <xdr:col>3</xdr:col>
      <xdr:colOff>838200</xdr:colOff>
      <xdr:row>0</xdr:row>
      <xdr:rowOff>482600</xdr:rowOff>
    </xdr:to>
    <xdr:sp macro="" textlink="Calc!$C$58">
      <xdr:nvSpPr>
        <xdr:cNvPr id="6" name="cabPeriodo">
          <a:extLst>
            <a:ext uri="{FF2B5EF4-FFF2-40B4-BE49-F238E27FC236}">
              <a16:creationId xmlns:a16="http://schemas.microsoft.com/office/drawing/2014/main" id="{2936FA2D-A5F2-AB0E-7619-DED50E22D692}"/>
            </a:ext>
          </a:extLst>
        </xdr:cNvPr>
        <xdr:cNvSpPr txBox="1"/>
      </xdr:nvSpPr>
      <xdr:spPr>
        <a:xfrm>
          <a:off x="228600" y="330200"/>
          <a:ext cx="38100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CF287505-90D2-4829-A694-319156A4AFD0}" type="TxLink">
            <a:rPr lang="en-US" sz="850" b="0" i="0" u="none" strike="noStrike">
              <a:solidFill>
                <a:srgbClr val="A5B4C8"/>
              </a:solidFill>
              <a:latin typeface="Segoe UI" panose="020B0502040204020203" pitchFamily="34" charset="0"/>
              <a:ea typeface="Calibri"/>
              <a:cs typeface="Calibri"/>
            </a:rPr>
            <a:pPr/>
            <a:t>JAN de 2025</a:t>
          </a:fld>
          <a:endParaRPr lang="pt-BR" sz="850" b="0">
            <a:solidFill>
              <a:srgbClr val="A5B4C8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841375</xdr:colOff>
      <xdr:row>0</xdr:row>
      <xdr:rowOff>203200</xdr:rowOff>
    </xdr:from>
    <xdr:to>
      <xdr:col>7</xdr:col>
      <xdr:colOff>409575</xdr:colOff>
      <xdr:row>0</xdr:row>
      <xdr:rowOff>381000</xdr:rowOff>
    </xdr:to>
    <xdr:sp macro="" textlink="Calc!$C$56">
      <xdr:nvSpPr>
        <xdr:cNvPr id="7" name="chipStatus">
          <a:extLst>
            <a:ext uri="{FF2B5EF4-FFF2-40B4-BE49-F238E27FC236}">
              <a16:creationId xmlns:a16="http://schemas.microsoft.com/office/drawing/2014/main" id="{09126E08-EE2E-6C56-09DF-B0EDF1BDF52C}"/>
            </a:ext>
          </a:extLst>
        </xdr:cNvPr>
        <xdr:cNvSpPr txBox="1"/>
      </xdr:nvSpPr>
      <xdr:spPr>
        <a:xfrm>
          <a:off x="3175000" y="203200"/>
          <a:ext cx="330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1CD1AE67-06B5-4E29-A070-6D2F98EDCF0B}" type="TxLink">
            <a:rPr lang="en-US" sz="900" b="1" i="0" u="none" strike="noStrike">
              <a:solidFill>
                <a:srgbClr val="86EFAC"/>
              </a:solidFill>
              <a:latin typeface="Segoe UI" panose="020B0502040204020203" pitchFamily="34" charset="0"/>
              <a:ea typeface="Calibri"/>
              <a:cs typeface="Calibri"/>
            </a:rPr>
            <a:pPr/>
            <a:t>✓ Dados consistentes</a:t>
          </a:fld>
          <a:endParaRPr lang="pt-BR" sz="900" b="1">
            <a:solidFill>
              <a:srgbClr val="86EFAC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10</xdr:col>
      <xdr:colOff>530225</xdr:colOff>
      <xdr:row>0</xdr:row>
      <xdr:rowOff>114300</xdr:rowOff>
    </xdr:from>
    <xdr:to>
      <xdr:col>13</xdr:col>
      <xdr:colOff>53975</xdr:colOff>
      <xdr:row>0</xdr:row>
      <xdr:rowOff>444500</xdr:rowOff>
    </xdr:to>
    <xdr:sp macro="[0]!IrCadastro" textlink="">
      <xdr:nvSpPr>
        <xdr:cNvPr id="8" name="btIrCadastro5">
          <a:extLst>
            <a:ext uri="{FF2B5EF4-FFF2-40B4-BE49-F238E27FC236}">
              <a16:creationId xmlns:a16="http://schemas.microsoft.com/office/drawing/2014/main" id="{5CD14525-028D-305B-E409-5978EFC77195}"/>
            </a:ext>
          </a:extLst>
        </xdr:cNvPr>
        <xdr:cNvSpPr/>
      </xdr:nvSpPr>
      <xdr:spPr>
        <a:xfrm>
          <a:off x="9398000" y="114300"/>
          <a:ext cx="1676400" cy="330200"/>
        </a:xfrm>
        <a:prstGeom prst="roundRect">
          <a:avLst>
            <a:gd name="adj" fmla="val 20000"/>
          </a:avLst>
        </a:prstGeom>
        <a:solidFill>
          <a:srgbClr val="C9A22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950" b="1">
              <a:solidFill>
                <a:srgbClr val="0B1F3A"/>
              </a:solidFill>
              <a:latin typeface="Segoe UI" panose="020B0502040204020203" pitchFamily="34" charset="0"/>
            </a:rPr>
            <a:t>+ Lançar gasto</a:t>
          </a:r>
        </a:p>
      </xdr:txBody>
    </xdr:sp>
    <xdr:clientData/>
  </xdr:twoCellAnchor>
  <xdr:twoCellAnchor editAs="absolute">
    <xdr:from>
      <xdr:col>0</xdr:col>
      <xdr:colOff>0</xdr:colOff>
      <xdr:row>1</xdr:row>
      <xdr:rowOff>6350</xdr:rowOff>
    </xdr:from>
    <xdr:to>
      <xdr:col>21</xdr:col>
      <xdr:colOff>295275</xdr:colOff>
      <xdr:row>2</xdr:row>
      <xdr:rowOff>6350</xdr:rowOff>
    </xdr:to>
    <xdr:sp macro="" textlink="">
      <xdr:nvSpPr>
        <xdr:cNvPr id="9" name="navFundo">
          <a:extLst>
            <a:ext uri="{FF2B5EF4-FFF2-40B4-BE49-F238E27FC236}">
              <a16:creationId xmlns:a16="http://schemas.microsoft.com/office/drawing/2014/main" id="{71E23ADA-1B63-3046-5B73-3D4352FAD31E}"/>
            </a:ext>
          </a:extLst>
        </xdr:cNvPr>
        <xdr:cNvSpPr/>
      </xdr:nvSpPr>
      <xdr:spPr>
        <a:xfrm>
          <a:off x="0" y="558800"/>
          <a:ext cx="16192500" cy="3810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0</xdr:colOff>
      <xdr:row>2</xdr:row>
      <xdr:rowOff>6350</xdr:rowOff>
    </xdr:from>
    <xdr:to>
      <xdr:col>21</xdr:col>
      <xdr:colOff>295275</xdr:colOff>
      <xdr:row>2</xdr:row>
      <xdr:rowOff>6350</xdr:rowOff>
    </xdr:to>
    <xdr:cxnSp macro="">
      <xdr:nvCxnSpPr>
        <xdr:cNvPr id="10" name="navLinha">
          <a:extLst>
            <a:ext uri="{FF2B5EF4-FFF2-40B4-BE49-F238E27FC236}">
              <a16:creationId xmlns:a16="http://schemas.microsoft.com/office/drawing/2014/main" id="{4969E775-924E-62DE-BD1E-9B3E34C90791}"/>
            </a:ext>
          </a:extLst>
        </xdr:cNvPr>
        <xdr:cNvCxnSpPr/>
      </xdr:nvCxnSpPr>
      <xdr:spPr>
        <a:xfrm>
          <a:off x="0" y="939800"/>
          <a:ext cx="16192500" cy="0"/>
        </a:xfrm>
        <a:prstGeom prst="line">
          <a:avLst/>
        </a:prstGeom>
        <a:ln>
          <a:solidFill>
            <a:srgbClr val="E2E8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152400</xdr:colOff>
      <xdr:row>1</xdr:row>
      <xdr:rowOff>57150</xdr:rowOff>
    </xdr:from>
    <xdr:to>
      <xdr:col>1</xdr:col>
      <xdr:colOff>452755</xdr:colOff>
      <xdr:row>1</xdr:row>
      <xdr:rowOff>361950</xdr:rowOff>
    </xdr:to>
    <xdr:sp macro="[0]!Navegar" textlink="">
      <xdr:nvSpPr>
        <xdr:cNvPr id="11" name="nav_0">
          <a:extLst>
            <a:ext uri="{FF2B5EF4-FFF2-40B4-BE49-F238E27FC236}">
              <a16:creationId xmlns:a16="http://schemas.microsoft.com/office/drawing/2014/main" id="{4CE30DF3-766C-3F70-EF6F-1AED7E267341}"/>
            </a:ext>
          </a:extLst>
        </xdr:cNvPr>
        <xdr:cNvSpPr txBox="1"/>
      </xdr:nvSpPr>
      <xdr:spPr>
        <a:xfrm>
          <a:off x="15240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Painel</a:t>
          </a:r>
        </a:p>
      </xdr:txBody>
    </xdr:sp>
    <xdr:clientData/>
  </xdr:twoCellAnchor>
  <xdr:twoCellAnchor editAs="absolute">
    <xdr:from>
      <xdr:col>1</xdr:col>
      <xdr:colOff>503555</xdr:colOff>
      <xdr:row>1</xdr:row>
      <xdr:rowOff>57150</xdr:rowOff>
    </xdr:from>
    <xdr:to>
      <xdr:col>1</xdr:col>
      <xdr:colOff>1351915</xdr:colOff>
      <xdr:row>1</xdr:row>
      <xdr:rowOff>361950</xdr:rowOff>
    </xdr:to>
    <xdr:sp macro="[0]!Navegar" textlink="">
      <xdr:nvSpPr>
        <xdr:cNvPr id="12" name="nav_1">
          <a:extLst>
            <a:ext uri="{FF2B5EF4-FFF2-40B4-BE49-F238E27FC236}">
              <a16:creationId xmlns:a16="http://schemas.microsoft.com/office/drawing/2014/main" id="{D5B6D459-23E8-6541-0B64-91A523E62D6E}"/>
            </a:ext>
          </a:extLst>
        </xdr:cNvPr>
        <xdr:cNvSpPr txBox="1"/>
      </xdr:nvSpPr>
      <xdr:spPr>
        <a:xfrm>
          <a:off x="970280" y="609600"/>
          <a:ext cx="84836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Análise</a:t>
          </a:r>
        </a:p>
      </xdr:txBody>
    </xdr:sp>
    <xdr:clientData/>
  </xdr:twoCellAnchor>
  <xdr:twoCellAnchor editAs="absolute">
    <xdr:from>
      <xdr:col>1</xdr:col>
      <xdr:colOff>1402715</xdr:colOff>
      <xdr:row>1</xdr:row>
      <xdr:rowOff>57150</xdr:rowOff>
    </xdr:from>
    <xdr:to>
      <xdr:col>2</xdr:col>
      <xdr:colOff>302895</xdr:colOff>
      <xdr:row>1</xdr:row>
      <xdr:rowOff>361950</xdr:rowOff>
    </xdr:to>
    <xdr:sp macro="[0]!Navegar" textlink="">
      <xdr:nvSpPr>
        <xdr:cNvPr id="13" name="nav_2">
          <a:extLst>
            <a:ext uri="{FF2B5EF4-FFF2-40B4-BE49-F238E27FC236}">
              <a16:creationId xmlns:a16="http://schemas.microsoft.com/office/drawing/2014/main" id="{7E17BD16-782E-77BC-CEE7-DAE5E8C6C756}"/>
            </a:ext>
          </a:extLst>
        </xdr:cNvPr>
        <xdr:cNvSpPr txBox="1"/>
      </xdr:nvSpPr>
      <xdr:spPr>
        <a:xfrm>
          <a:off x="186944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Lançar</a:t>
          </a:r>
        </a:p>
      </xdr:txBody>
    </xdr:sp>
    <xdr:clientData/>
  </xdr:twoCellAnchor>
  <xdr:twoCellAnchor editAs="absolute">
    <xdr:from>
      <xdr:col>2</xdr:col>
      <xdr:colOff>353695</xdr:colOff>
      <xdr:row>1</xdr:row>
      <xdr:rowOff>57150</xdr:rowOff>
    </xdr:from>
    <xdr:to>
      <xdr:col>3</xdr:col>
      <xdr:colOff>254000</xdr:colOff>
      <xdr:row>1</xdr:row>
      <xdr:rowOff>361950</xdr:rowOff>
    </xdr:to>
    <xdr:sp macro="[0]!Navegar" textlink="">
      <xdr:nvSpPr>
        <xdr:cNvPr id="14" name="nav_3">
          <a:extLst>
            <a:ext uri="{FF2B5EF4-FFF2-40B4-BE49-F238E27FC236}">
              <a16:creationId xmlns:a16="http://schemas.microsoft.com/office/drawing/2014/main" id="{73A48411-9233-CEE1-3FBC-4BD70B100DE8}"/>
            </a:ext>
          </a:extLst>
        </xdr:cNvPr>
        <xdr:cNvSpPr txBox="1"/>
      </xdr:nvSpPr>
      <xdr:spPr>
        <a:xfrm>
          <a:off x="268732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Contas</a:t>
          </a:r>
        </a:p>
      </xdr:txBody>
    </xdr:sp>
    <xdr:clientData/>
  </xdr:twoCellAnchor>
  <xdr:twoCellAnchor editAs="absolute">
    <xdr:from>
      <xdr:col>3</xdr:col>
      <xdr:colOff>304800</xdr:colOff>
      <xdr:row>1</xdr:row>
      <xdr:rowOff>57150</xdr:rowOff>
    </xdr:from>
    <xdr:to>
      <xdr:col>4</xdr:col>
      <xdr:colOff>123825</xdr:colOff>
      <xdr:row>1</xdr:row>
      <xdr:rowOff>361950</xdr:rowOff>
    </xdr:to>
    <xdr:sp macro="[0]!Navegar" textlink="">
      <xdr:nvSpPr>
        <xdr:cNvPr id="15" name="nav_4">
          <a:extLst>
            <a:ext uri="{FF2B5EF4-FFF2-40B4-BE49-F238E27FC236}">
              <a16:creationId xmlns:a16="http://schemas.microsoft.com/office/drawing/2014/main" id="{D5F2656D-6EB7-3EB9-BF4C-8E3667525B45}"/>
            </a:ext>
          </a:extLst>
        </xdr:cNvPr>
        <xdr:cNvSpPr txBox="1"/>
      </xdr:nvSpPr>
      <xdr:spPr>
        <a:xfrm>
          <a:off x="3505200" y="609600"/>
          <a:ext cx="6858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Metas</a:t>
          </a:r>
        </a:p>
      </xdr:txBody>
    </xdr:sp>
    <xdr:clientData/>
  </xdr:twoCellAnchor>
  <xdr:twoCellAnchor editAs="absolute">
    <xdr:from>
      <xdr:col>4</xdr:col>
      <xdr:colOff>200025</xdr:colOff>
      <xdr:row>1</xdr:row>
      <xdr:rowOff>107950</xdr:rowOff>
    </xdr:from>
    <xdr:to>
      <xdr:col>4</xdr:col>
      <xdr:colOff>200025</xdr:colOff>
      <xdr:row>1</xdr:row>
      <xdr:rowOff>311150</xdr:rowOff>
    </xdr:to>
    <xdr:cxnSp macro="">
      <xdr:nvCxnSpPr>
        <xdr:cNvPr id="16" name="navSep">
          <a:extLst>
            <a:ext uri="{FF2B5EF4-FFF2-40B4-BE49-F238E27FC236}">
              <a16:creationId xmlns:a16="http://schemas.microsoft.com/office/drawing/2014/main" id="{567CB047-C3FD-4823-3BFF-AA659C6ACD22}"/>
            </a:ext>
          </a:extLst>
        </xdr:cNvPr>
        <xdr:cNvCxnSpPr/>
      </xdr:nvCxnSpPr>
      <xdr:spPr>
        <a:xfrm>
          <a:off x="4267200" y="660400"/>
          <a:ext cx="0" cy="203200"/>
        </a:xfrm>
        <a:prstGeom prst="line">
          <a:avLst/>
        </a:prstGeom>
        <a:ln>
          <a:solidFill>
            <a:srgbClr val="E2E8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4</xdr:col>
      <xdr:colOff>276225</xdr:colOff>
      <xdr:row>1</xdr:row>
      <xdr:rowOff>57150</xdr:rowOff>
    </xdr:from>
    <xdr:to>
      <xdr:col>6</xdr:col>
      <xdr:colOff>382905</xdr:colOff>
      <xdr:row>1</xdr:row>
      <xdr:rowOff>361950</xdr:rowOff>
    </xdr:to>
    <xdr:sp macro="[0]!Navegar" textlink="">
      <xdr:nvSpPr>
        <xdr:cNvPr id="17" name="nav_5">
          <a:extLst>
            <a:ext uri="{FF2B5EF4-FFF2-40B4-BE49-F238E27FC236}">
              <a16:creationId xmlns:a16="http://schemas.microsoft.com/office/drawing/2014/main" id="{939B94A3-E832-3129-254E-907052171785}"/>
            </a:ext>
          </a:extLst>
        </xdr:cNvPr>
        <xdr:cNvSpPr txBox="1"/>
      </xdr:nvSpPr>
      <xdr:spPr>
        <a:xfrm>
          <a:off x="4343400" y="609600"/>
          <a:ext cx="11734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6</xdr:col>
      <xdr:colOff>433705</xdr:colOff>
      <xdr:row>1</xdr:row>
      <xdr:rowOff>57150</xdr:rowOff>
    </xdr:from>
    <xdr:to>
      <xdr:col>7</xdr:col>
      <xdr:colOff>511175</xdr:colOff>
      <xdr:row>1</xdr:row>
      <xdr:rowOff>361950</xdr:rowOff>
    </xdr:to>
    <xdr:sp macro="[0]!Navegar" textlink="">
      <xdr:nvSpPr>
        <xdr:cNvPr id="18" name="nav_6">
          <a:extLst>
            <a:ext uri="{FF2B5EF4-FFF2-40B4-BE49-F238E27FC236}">
              <a16:creationId xmlns:a16="http://schemas.microsoft.com/office/drawing/2014/main" id="{43C63281-07A8-7354-678B-BD8A0F4E42B4}"/>
            </a:ext>
          </a:extLst>
        </xdr:cNvPr>
        <xdr:cNvSpPr txBox="1"/>
      </xdr:nvSpPr>
      <xdr:spPr>
        <a:xfrm>
          <a:off x="5567680" y="609600"/>
          <a:ext cx="101092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Orçamento</a:t>
          </a:r>
        </a:p>
      </xdr:txBody>
    </xdr:sp>
    <xdr:clientData/>
  </xdr:twoCellAnchor>
  <xdr:twoCellAnchor editAs="absolute">
    <xdr:from>
      <xdr:col>7</xdr:col>
      <xdr:colOff>561975</xdr:colOff>
      <xdr:row>1</xdr:row>
      <xdr:rowOff>57150</xdr:rowOff>
    </xdr:from>
    <xdr:to>
      <xdr:col>8</xdr:col>
      <xdr:colOff>395605</xdr:colOff>
      <xdr:row>1</xdr:row>
      <xdr:rowOff>361950</xdr:rowOff>
    </xdr:to>
    <xdr:sp macro="[0]!Navegar" textlink="">
      <xdr:nvSpPr>
        <xdr:cNvPr id="19" name="nav_7">
          <a:extLst>
            <a:ext uri="{FF2B5EF4-FFF2-40B4-BE49-F238E27FC236}">
              <a16:creationId xmlns:a16="http://schemas.microsoft.com/office/drawing/2014/main" id="{B38DD1F1-EF9E-8ADB-0E8A-2ED3D5C39EF5}"/>
            </a:ext>
          </a:extLst>
        </xdr:cNvPr>
        <xdr:cNvSpPr txBox="1"/>
      </xdr:nvSpPr>
      <xdr:spPr>
        <a:xfrm>
          <a:off x="662940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1">
              <a:solidFill>
                <a:srgbClr val="0B1F3A"/>
              </a:solidFill>
              <a:latin typeface="Segoe UI" panose="020B0502040204020203" pitchFamily="34" charset="0"/>
            </a:rPr>
            <a:t>Rendas</a:t>
          </a:r>
        </a:p>
      </xdr:txBody>
    </xdr:sp>
    <xdr:clientData/>
  </xdr:twoCellAnchor>
  <xdr:twoCellAnchor editAs="absolute">
    <xdr:from>
      <xdr:col>7</xdr:col>
      <xdr:colOff>638175</xdr:colOff>
      <xdr:row>1</xdr:row>
      <xdr:rowOff>349250</xdr:rowOff>
    </xdr:from>
    <xdr:to>
      <xdr:col>8</xdr:col>
      <xdr:colOff>319405</xdr:colOff>
      <xdr:row>2</xdr:row>
      <xdr:rowOff>6350</xdr:rowOff>
    </xdr:to>
    <xdr:sp macro="" textlink="">
      <xdr:nvSpPr>
        <xdr:cNvPr id="20" name="navAtivo">
          <a:extLst>
            <a:ext uri="{FF2B5EF4-FFF2-40B4-BE49-F238E27FC236}">
              <a16:creationId xmlns:a16="http://schemas.microsoft.com/office/drawing/2014/main" id="{7D41FFFF-5233-6F35-96E3-7AB6A647C41C}"/>
            </a:ext>
          </a:extLst>
        </xdr:cNvPr>
        <xdr:cNvSpPr/>
      </xdr:nvSpPr>
      <xdr:spPr>
        <a:xfrm>
          <a:off x="6705600" y="901700"/>
          <a:ext cx="614680" cy="38100"/>
        </a:xfrm>
        <a:prstGeom prst="rect">
          <a:avLst/>
        </a:prstGeom>
        <a:solidFill>
          <a:srgbClr val="C9A22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8</xdr:col>
      <xdr:colOff>446405</xdr:colOff>
      <xdr:row>1</xdr:row>
      <xdr:rowOff>57150</xdr:rowOff>
    </xdr:from>
    <xdr:to>
      <xdr:col>9</xdr:col>
      <xdr:colOff>605155</xdr:colOff>
      <xdr:row>1</xdr:row>
      <xdr:rowOff>361950</xdr:rowOff>
    </xdr:to>
    <xdr:sp macro="[0]!Navegar" textlink="">
      <xdr:nvSpPr>
        <xdr:cNvPr id="21" name="nav_8">
          <a:extLst>
            <a:ext uri="{FF2B5EF4-FFF2-40B4-BE49-F238E27FC236}">
              <a16:creationId xmlns:a16="http://schemas.microsoft.com/office/drawing/2014/main" id="{6BF2557C-34ED-ADEA-45E3-465C7AA6831B}"/>
            </a:ext>
          </a:extLst>
        </xdr:cNvPr>
        <xdr:cNvSpPr txBox="1"/>
      </xdr:nvSpPr>
      <xdr:spPr>
        <a:xfrm>
          <a:off x="7447280" y="609600"/>
          <a:ext cx="10922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Categorias</a:t>
          </a:r>
        </a:p>
      </xdr:txBody>
    </xdr:sp>
    <xdr:clientData/>
  </xdr:twoCellAnchor>
  <xdr:twoCellAnchor editAs="absolute">
    <xdr:from>
      <xdr:col>9</xdr:col>
      <xdr:colOff>808355</xdr:colOff>
      <xdr:row>1</xdr:row>
      <xdr:rowOff>69850</xdr:rowOff>
    </xdr:from>
    <xdr:to>
      <xdr:col>10</xdr:col>
      <xdr:colOff>890905</xdr:colOff>
      <xdr:row>1</xdr:row>
      <xdr:rowOff>323850</xdr:rowOff>
    </xdr:to>
    <xdr:sp macro="[0]!AtualizarPainel" textlink="">
      <xdr:nvSpPr>
        <xdr:cNvPr id="22" name="btAtualizarPainel19">
          <a:extLst>
            <a:ext uri="{FF2B5EF4-FFF2-40B4-BE49-F238E27FC236}">
              <a16:creationId xmlns:a16="http://schemas.microsoft.com/office/drawing/2014/main" id="{3C7E65CB-05C7-FDB1-3C9E-719738DE9CA1}"/>
            </a:ext>
          </a:extLst>
        </xdr:cNvPr>
        <xdr:cNvSpPr/>
      </xdr:nvSpPr>
      <xdr:spPr>
        <a:xfrm>
          <a:off x="8742680" y="622300"/>
          <a:ext cx="1016000" cy="254000"/>
        </a:xfrm>
        <a:prstGeom prst="roundRect">
          <a:avLst>
            <a:gd name="adj" fmla="val 20000"/>
          </a:avLst>
        </a:prstGeom>
        <a:solidFill>
          <a:srgbClr val="FFFFFF"/>
        </a:solidFill>
        <a:ln w="9525">
          <a:solidFill>
            <a:srgbClr val="E2E8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850" b="1">
              <a:solidFill>
                <a:srgbClr val="2A6FB8"/>
              </a:solidFill>
              <a:latin typeface="Segoe UI" panose="020B0502040204020203" pitchFamily="34" charset="0"/>
            </a:rPr>
            <a:t>Atualizar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523875</xdr:colOff>
      <xdr:row>1</xdr:row>
      <xdr:rowOff>6350</xdr:rowOff>
    </xdr:to>
    <xdr:sp macro="" textlink="">
      <xdr:nvSpPr>
        <xdr:cNvPr id="4" name="cabFundo">
          <a:extLst>
            <a:ext uri="{FF2B5EF4-FFF2-40B4-BE49-F238E27FC236}">
              <a16:creationId xmlns:a16="http://schemas.microsoft.com/office/drawing/2014/main" id="{DA99AE79-2CAB-F15F-51C8-297788C2F817}"/>
            </a:ext>
          </a:extLst>
        </xdr:cNvPr>
        <xdr:cNvSpPr/>
      </xdr:nvSpPr>
      <xdr:spPr>
        <a:xfrm>
          <a:off x="0" y="0"/>
          <a:ext cx="16192500" cy="558800"/>
        </a:xfrm>
        <a:prstGeom prst="rect">
          <a:avLst/>
        </a:prstGeom>
        <a:solidFill>
          <a:srgbClr val="0B1F3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228600</xdr:colOff>
      <xdr:row>0</xdr:row>
      <xdr:rowOff>76200</xdr:rowOff>
    </xdr:from>
    <xdr:to>
      <xdr:col>2</xdr:col>
      <xdr:colOff>2105025</xdr:colOff>
      <xdr:row>0</xdr:row>
      <xdr:rowOff>330200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61EC02E7-A5AE-0839-78CF-D3F753D88B4A}"/>
            </a:ext>
          </a:extLst>
        </xdr:cNvPr>
        <xdr:cNvSpPr txBox="1"/>
      </xdr:nvSpPr>
      <xdr:spPr>
        <a:xfrm>
          <a:off x="228600" y="76200"/>
          <a:ext cx="3810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r>
            <a:rPr lang="pt-BR" sz="1400" b="1">
              <a:solidFill>
                <a:srgbClr val="FFFFFF"/>
              </a:solidFill>
              <a:latin typeface="Segoe UI" panose="020B0502040204020203" pitchFamily="34" charset="0"/>
            </a:rPr>
            <a:t>Casa Organizada</a:t>
          </a:r>
        </a:p>
      </xdr:txBody>
    </xdr:sp>
    <xdr:clientData/>
  </xdr:twoCellAnchor>
  <xdr:twoCellAnchor editAs="absolute">
    <xdr:from>
      <xdr:col>0</xdr:col>
      <xdr:colOff>228600</xdr:colOff>
      <xdr:row>0</xdr:row>
      <xdr:rowOff>330200</xdr:rowOff>
    </xdr:from>
    <xdr:to>
      <xdr:col>2</xdr:col>
      <xdr:colOff>2105025</xdr:colOff>
      <xdr:row>0</xdr:row>
      <xdr:rowOff>482600</xdr:rowOff>
    </xdr:to>
    <xdr:sp macro="" textlink="Calc!$C$58">
      <xdr:nvSpPr>
        <xdr:cNvPr id="6" name="cabPeriodo">
          <a:extLst>
            <a:ext uri="{FF2B5EF4-FFF2-40B4-BE49-F238E27FC236}">
              <a16:creationId xmlns:a16="http://schemas.microsoft.com/office/drawing/2014/main" id="{2AC4742B-323A-D1F6-C90D-44BA807C887B}"/>
            </a:ext>
          </a:extLst>
        </xdr:cNvPr>
        <xdr:cNvSpPr txBox="1"/>
      </xdr:nvSpPr>
      <xdr:spPr>
        <a:xfrm>
          <a:off x="228600" y="330200"/>
          <a:ext cx="3810000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5179E7D4-659D-4C3C-B726-24A2A88D6C84}" type="TxLink">
            <a:rPr lang="en-US" sz="850" b="0" i="0" u="none" strike="noStrike">
              <a:solidFill>
                <a:srgbClr val="A5B4C8"/>
              </a:solidFill>
              <a:latin typeface="Segoe UI" panose="020B0502040204020203" pitchFamily="34" charset="0"/>
              <a:ea typeface="Calibri"/>
              <a:cs typeface="Calibri"/>
            </a:rPr>
            <a:pPr/>
            <a:t>JAN de 2025</a:t>
          </a:fld>
          <a:endParaRPr lang="pt-BR" sz="850" b="0">
            <a:solidFill>
              <a:srgbClr val="A5B4C8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1241425</xdr:colOff>
      <xdr:row>0</xdr:row>
      <xdr:rowOff>203200</xdr:rowOff>
    </xdr:from>
    <xdr:to>
      <xdr:col>3</xdr:col>
      <xdr:colOff>2409825</xdr:colOff>
      <xdr:row>0</xdr:row>
      <xdr:rowOff>381000</xdr:rowOff>
    </xdr:to>
    <xdr:sp macro="" textlink="Calc!$C$56">
      <xdr:nvSpPr>
        <xdr:cNvPr id="7" name="chipStatus">
          <a:extLst>
            <a:ext uri="{FF2B5EF4-FFF2-40B4-BE49-F238E27FC236}">
              <a16:creationId xmlns:a16="http://schemas.microsoft.com/office/drawing/2014/main" id="{90C23256-ED5D-F35E-5155-14194BF5BD73}"/>
            </a:ext>
          </a:extLst>
        </xdr:cNvPr>
        <xdr:cNvSpPr txBox="1"/>
      </xdr:nvSpPr>
      <xdr:spPr>
        <a:xfrm>
          <a:off x="3175000" y="203200"/>
          <a:ext cx="330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Autofit/>
        </a:bodyPr>
        <a:lstStyle/>
        <a:p>
          <a:fld id="{25805F04-4914-49D3-B547-63391FC164A0}" type="TxLink">
            <a:rPr lang="en-US" sz="900" b="1" i="0" u="none" strike="noStrike">
              <a:solidFill>
                <a:srgbClr val="86EFAC"/>
              </a:solidFill>
              <a:latin typeface="Segoe UI" panose="020B0502040204020203" pitchFamily="34" charset="0"/>
              <a:ea typeface="Calibri"/>
              <a:cs typeface="Calibri"/>
            </a:rPr>
            <a:pPr/>
            <a:t>✓ Dados consistentes</a:t>
          </a:fld>
          <a:endParaRPr lang="pt-BR" sz="900" b="1">
            <a:solidFill>
              <a:srgbClr val="86EFAC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5</xdr:col>
      <xdr:colOff>463550</xdr:colOff>
      <xdr:row>0</xdr:row>
      <xdr:rowOff>114300</xdr:rowOff>
    </xdr:from>
    <xdr:to>
      <xdr:col>7</xdr:col>
      <xdr:colOff>196850</xdr:colOff>
      <xdr:row>0</xdr:row>
      <xdr:rowOff>444500</xdr:rowOff>
    </xdr:to>
    <xdr:sp macro="[0]!IrCadastro" textlink="">
      <xdr:nvSpPr>
        <xdr:cNvPr id="8" name="btIrCadastro5">
          <a:extLst>
            <a:ext uri="{FF2B5EF4-FFF2-40B4-BE49-F238E27FC236}">
              <a16:creationId xmlns:a16="http://schemas.microsoft.com/office/drawing/2014/main" id="{34C8422C-8956-BA43-A75B-268F84FC027E}"/>
            </a:ext>
          </a:extLst>
        </xdr:cNvPr>
        <xdr:cNvSpPr/>
      </xdr:nvSpPr>
      <xdr:spPr>
        <a:xfrm>
          <a:off x="9398000" y="114300"/>
          <a:ext cx="1676400" cy="330200"/>
        </a:xfrm>
        <a:prstGeom prst="roundRect">
          <a:avLst>
            <a:gd name="adj" fmla="val 20000"/>
          </a:avLst>
        </a:prstGeom>
        <a:solidFill>
          <a:srgbClr val="C9A22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950" b="1">
              <a:solidFill>
                <a:srgbClr val="0B1F3A"/>
              </a:solidFill>
              <a:latin typeface="Segoe UI" panose="020B0502040204020203" pitchFamily="34" charset="0"/>
            </a:rPr>
            <a:t>+ Lançar gasto</a:t>
          </a:r>
        </a:p>
      </xdr:txBody>
    </xdr:sp>
    <xdr:clientData/>
  </xdr:twoCellAnchor>
  <xdr:twoCellAnchor editAs="absolute">
    <xdr:from>
      <xdr:col>0</xdr:col>
      <xdr:colOff>0</xdr:colOff>
      <xdr:row>1</xdr:row>
      <xdr:rowOff>6350</xdr:rowOff>
    </xdr:from>
    <xdr:to>
      <xdr:col>12</xdr:col>
      <xdr:colOff>523875</xdr:colOff>
      <xdr:row>2</xdr:row>
      <xdr:rowOff>6350</xdr:rowOff>
    </xdr:to>
    <xdr:sp macro="" textlink="">
      <xdr:nvSpPr>
        <xdr:cNvPr id="9" name="navFundo">
          <a:extLst>
            <a:ext uri="{FF2B5EF4-FFF2-40B4-BE49-F238E27FC236}">
              <a16:creationId xmlns:a16="http://schemas.microsoft.com/office/drawing/2014/main" id="{5FF0625D-C254-DA2A-E60F-FFB4CFD5DD02}"/>
            </a:ext>
          </a:extLst>
        </xdr:cNvPr>
        <xdr:cNvSpPr/>
      </xdr:nvSpPr>
      <xdr:spPr>
        <a:xfrm>
          <a:off x="0" y="558800"/>
          <a:ext cx="16192500" cy="381000"/>
        </a:xfrm>
        <a:prstGeom prst="rect">
          <a:avLst/>
        </a:prstGeom>
        <a:solidFill>
          <a:srgbClr val="FFFFF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0</xdr:colOff>
      <xdr:row>2</xdr:row>
      <xdr:rowOff>6350</xdr:rowOff>
    </xdr:from>
    <xdr:to>
      <xdr:col>12</xdr:col>
      <xdr:colOff>523875</xdr:colOff>
      <xdr:row>2</xdr:row>
      <xdr:rowOff>6350</xdr:rowOff>
    </xdr:to>
    <xdr:cxnSp macro="">
      <xdr:nvCxnSpPr>
        <xdr:cNvPr id="10" name="navLinha">
          <a:extLst>
            <a:ext uri="{FF2B5EF4-FFF2-40B4-BE49-F238E27FC236}">
              <a16:creationId xmlns:a16="http://schemas.microsoft.com/office/drawing/2014/main" id="{386435CE-12E3-0F34-A42B-F39D72F5A599}"/>
            </a:ext>
          </a:extLst>
        </xdr:cNvPr>
        <xdr:cNvCxnSpPr/>
      </xdr:nvCxnSpPr>
      <xdr:spPr>
        <a:xfrm>
          <a:off x="0" y="939800"/>
          <a:ext cx="16192500" cy="0"/>
        </a:xfrm>
        <a:prstGeom prst="line">
          <a:avLst/>
        </a:prstGeom>
        <a:ln>
          <a:solidFill>
            <a:srgbClr val="E2E8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152400</xdr:colOff>
      <xdr:row>1</xdr:row>
      <xdr:rowOff>57150</xdr:rowOff>
    </xdr:from>
    <xdr:to>
      <xdr:col>1</xdr:col>
      <xdr:colOff>319405</xdr:colOff>
      <xdr:row>1</xdr:row>
      <xdr:rowOff>361950</xdr:rowOff>
    </xdr:to>
    <xdr:sp macro="[0]!Navegar" textlink="">
      <xdr:nvSpPr>
        <xdr:cNvPr id="11" name="nav_0">
          <a:extLst>
            <a:ext uri="{FF2B5EF4-FFF2-40B4-BE49-F238E27FC236}">
              <a16:creationId xmlns:a16="http://schemas.microsoft.com/office/drawing/2014/main" id="{617A56A3-E59B-9CE8-6370-C4C849F69681}"/>
            </a:ext>
          </a:extLst>
        </xdr:cNvPr>
        <xdr:cNvSpPr txBox="1"/>
      </xdr:nvSpPr>
      <xdr:spPr>
        <a:xfrm>
          <a:off x="15240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Painel</a:t>
          </a:r>
        </a:p>
      </xdr:txBody>
    </xdr:sp>
    <xdr:clientData/>
  </xdr:twoCellAnchor>
  <xdr:twoCellAnchor editAs="absolute">
    <xdr:from>
      <xdr:col>1</xdr:col>
      <xdr:colOff>370205</xdr:colOff>
      <xdr:row>1</xdr:row>
      <xdr:rowOff>57150</xdr:rowOff>
    </xdr:from>
    <xdr:to>
      <xdr:col>1</xdr:col>
      <xdr:colOff>1218565</xdr:colOff>
      <xdr:row>1</xdr:row>
      <xdr:rowOff>361950</xdr:rowOff>
    </xdr:to>
    <xdr:sp macro="[0]!Navegar" textlink="">
      <xdr:nvSpPr>
        <xdr:cNvPr id="12" name="nav_1">
          <a:extLst>
            <a:ext uri="{FF2B5EF4-FFF2-40B4-BE49-F238E27FC236}">
              <a16:creationId xmlns:a16="http://schemas.microsoft.com/office/drawing/2014/main" id="{4F5FAFCC-9139-9841-5804-B65AF78FB0D6}"/>
            </a:ext>
          </a:extLst>
        </xdr:cNvPr>
        <xdr:cNvSpPr txBox="1"/>
      </xdr:nvSpPr>
      <xdr:spPr>
        <a:xfrm>
          <a:off x="970280" y="609600"/>
          <a:ext cx="84836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Análise</a:t>
          </a:r>
        </a:p>
      </xdr:txBody>
    </xdr:sp>
    <xdr:clientData/>
  </xdr:twoCellAnchor>
  <xdr:twoCellAnchor editAs="absolute">
    <xdr:from>
      <xdr:col>1</xdr:col>
      <xdr:colOff>1269365</xdr:colOff>
      <xdr:row>1</xdr:row>
      <xdr:rowOff>57150</xdr:rowOff>
    </xdr:from>
    <xdr:to>
      <xdr:col>2</xdr:col>
      <xdr:colOff>702945</xdr:colOff>
      <xdr:row>1</xdr:row>
      <xdr:rowOff>361950</xdr:rowOff>
    </xdr:to>
    <xdr:sp macro="[0]!Navegar" textlink="">
      <xdr:nvSpPr>
        <xdr:cNvPr id="13" name="nav_2">
          <a:extLst>
            <a:ext uri="{FF2B5EF4-FFF2-40B4-BE49-F238E27FC236}">
              <a16:creationId xmlns:a16="http://schemas.microsoft.com/office/drawing/2014/main" id="{7B277F00-E556-5D0C-0924-DC53CC4A9421}"/>
            </a:ext>
          </a:extLst>
        </xdr:cNvPr>
        <xdr:cNvSpPr txBox="1"/>
      </xdr:nvSpPr>
      <xdr:spPr>
        <a:xfrm>
          <a:off x="186944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Lançar</a:t>
          </a:r>
        </a:p>
      </xdr:txBody>
    </xdr:sp>
    <xdr:clientData/>
  </xdr:twoCellAnchor>
  <xdr:twoCellAnchor editAs="absolute">
    <xdr:from>
      <xdr:col>2</xdr:col>
      <xdr:colOff>753745</xdr:colOff>
      <xdr:row>1</xdr:row>
      <xdr:rowOff>57150</xdr:rowOff>
    </xdr:from>
    <xdr:to>
      <xdr:col>2</xdr:col>
      <xdr:colOff>1520825</xdr:colOff>
      <xdr:row>1</xdr:row>
      <xdr:rowOff>361950</xdr:rowOff>
    </xdr:to>
    <xdr:sp macro="[0]!Navegar" textlink="">
      <xdr:nvSpPr>
        <xdr:cNvPr id="14" name="nav_3">
          <a:extLst>
            <a:ext uri="{FF2B5EF4-FFF2-40B4-BE49-F238E27FC236}">
              <a16:creationId xmlns:a16="http://schemas.microsoft.com/office/drawing/2014/main" id="{ADE2EC06-6E01-F4FF-7412-342342592B19}"/>
            </a:ext>
          </a:extLst>
        </xdr:cNvPr>
        <xdr:cNvSpPr txBox="1"/>
      </xdr:nvSpPr>
      <xdr:spPr>
        <a:xfrm>
          <a:off x="268732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Contas</a:t>
          </a:r>
        </a:p>
      </xdr:txBody>
    </xdr:sp>
    <xdr:clientData/>
  </xdr:twoCellAnchor>
  <xdr:twoCellAnchor editAs="absolute">
    <xdr:from>
      <xdr:col>2</xdr:col>
      <xdr:colOff>1571625</xdr:colOff>
      <xdr:row>1</xdr:row>
      <xdr:rowOff>57150</xdr:rowOff>
    </xdr:from>
    <xdr:to>
      <xdr:col>3</xdr:col>
      <xdr:colOff>123825</xdr:colOff>
      <xdr:row>1</xdr:row>
      <xdr:rowOff>361950</xdr:rowOff>
    </xdr:to>
    <xdr:sp macro="[0]!Navegar" textlink="">
      <xdr:nvSpPr>
        <xdr:cNvPr id="15" name="nav_4">
          <a:extLst>
            <a:ext uri="{FF2B5EF4-FFF2-40B4-BE49-F238E27FC236}">
              <a16:creationId xmlns:a16="http://schemas.microsoft.com/office/drawing/2014/main" id="{55E841D3-0072-9B64-04BA-4A56553CACBD}"/>
            </a:ext>
          </a:extLst>
        </xdr:cNvPr>
        <xdr:cNvSpPr txBox="1"/>
      </xdr:nvSpPr>
      <xdr:spPr>
        <a:xfrm>
          <a:off x="3505200" y="609600"/>
          <a:ext cx="6858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Metas</a:t>
          </a:r>
        </a:p>
      </xdr:txBody>
    </xdr:sp>
    <xdr:clientData/>
  </xdr:twoCellAnchor>
  <xdr:twoCellAnchor editAs="absolute">
    <xdr:from>
      <xdr:col>3</xdr:col>
      <xdr:colOff>200025</xdr:colOff>
      <xdr:row>1</xdr:row>
      <xdr:rowOff>107950</xdr:rowOff>
    </xdr:from>
    <xdr:to>
      <xdr:col>3</xdr:col>
      <xdr:colOff>200025</xdr:colOff>
      <xdr:row>1</xdr:row>
      <xdr:rowOff>311150</xdr:rowOff>
    </xdr:to>
    <xdr:cxnSp macro="">
      <xdr:nvCxnSpPr>
        <xdr:cNvPr id="16" name="navSep">
          <a:extLst>
            <a:ext uri="{FF2B5EF4-FFF2-40B4-BE49-F238E27FC236}">
              <a16:creationId xmlns:a16="http://schemas.microsoft.com/office/drawing/2014/main" id="{14D9B170-3E2E-CEF6-11FC-21F4F15A5786}"/>
            </a:ext>
          </a:extLst>
        </xdr:cNvPr>
        <xdr:cNvCxnSpPr/>
      </xdr:nvCxnSpPr>
      <xdr:spPr>
        <a:xfrm>
          <a:off x="4267200" y="660400"/>
          <a:ext cx="0" cy="203200"/>
        </a:xfrm>
        <a:prstGeom prst="line">
          <a:avLst/>
        </a:prstGeom>
        <a:ln>
          <a:solidFill>
            <a:srgbClr val="E2E8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276225</xdr:colOff>
      <xdr:row>1</xdr:row>
      <xdr:rowOff>57150</xdr:rowOff>
    </xdr:from>
    <xdr:to>
      <xdr:col>3</xdr:col>
      <xdr:colOff>1449705</xdr:colOff>
      <xdr:row>1</xdr:row>
      <xdr:rowOff>361950</xdr:rowOff>
    </xdr:to>
    <xdr:sp macro="[0]!Navegar" textlink="">
      <xdr:nvSpPr>
        <xdr:cNvPr id="17" name="nav_5">
          <a:extLst>
            <a:ext uri="{FF2B5EF4-FFF2-40B4-BE49-F238E27FC236}">
              <a16:creationId xmlns:a16="http://schemas.microsoft.com/office/drawing/2014/main" id="{C22A7EBD-0CF1-07EB-95F5-E3869314EDC8}"/>
            </a:ext>
          </a:extLst>
        </xdr:cNvPr>
        <xdr:cNvSpPr txBox="1"/>
      </xdr:nvSpPr>
      <xdr:spPr>
        <a:xfrm>
          <a:off x="4343400" y="609600"/>
          <a:ext cx="11734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Lançamentos</a:t>
          </a:r>
        </a:p>
      </xdr:txBody>
    </xdr:sp>
    <xdr:clientData/>
  </xdr:twoCellAnchor>
  <xdr:twoCellAnchor editAs="absolute">
    <xdr:from>
      <xdr:col>3</xdr:col>
      <xdr:colOff>1500505</xdr:colOff>
      <xdr:row>1</xdr:row>
      <xdr:rowOff>57150</xdr:rowOff>
    </xdr:from>
    <xdr:to>
      <xdr:col>3</xdr:col>
      <xdr:colOff>2511425</xdr:colOff>
      <xdr:row>1</xdr:row>
      <xdr:rowOff>361950</xdr:rowOff>
    </xdr:to>
    <xdr:sp macro="[0]!Navegar" textlink="">
      <xdr:nvSpPr>
        <xdr:cNvPr id="18" name="nav_6">
          <a:extLst>
            <a:ext uri="{FF2B5EF4-FFF2-40B4-BE49-F238E27FC236}">
              <a16:creationId xmlns:a16="http://schemas.microsoft.com/office/drawing/2014/main" id="{4AFD7A37-3AAF-73AC-53C2-EB2C1676A9C0}"/>
            </a:ext>
          </a:extLst>
        </xdr:cNvPr>
        <xdr:cNvSpPr txBox="1"/>
      </xdr:nvSpPr>
      <xdr:spPr>
        <a:xfrm>
          <a:off x="5567680" y="609600"/>
          <a:ext cx="101092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Orçamento</a:t>
          </a:r>
        </a:p>
      </xdr:txBody>
    </xdr:sp>
    <xdr:clientData/>
  </xdr:twoCellAnchor>
  <xdr:twoCellAnchor editAs="absolute">
    <xdr:from>
      <xdr:col>3</xdr:col>
      <xdr:colOff>2562225</xdr:colOff>
      <xdr:row>1</xdr:row>
      <xdr:rowOff>57150</xdr:rowOff>
    </xdr:from>
    <xdr:to>
      <xdr:col>3</xdr:col>
      <xdr:colOff>3329305</xdr:colOff>
      <xdr:row>1</xdr:row>
      <xdr:rowOff>361950</xdr:rowOff>
    </xdr:to>
    <xdr:sp macro="[0]!Navegar" textlink="">
      <xdr:nvSpPr>
        <xdr:cNvPr id="19" name="nav_7">
          <a:extLst>
            <a:ext uri="{FF2B5EF4-FFF2-40B4-BE49-F238E27FC236}">
              <a16:creationId xmlns:a16="http://schemas.microsoft.com/office/drawing/2014/main" id="{128EECE3-59D6-844E-DBBC-CD7FEEE04AE2}"/>
            </a:ext>
          </a:extLst>
        </xdr:cNvPr>
        <xdr:cNvSpPr txBox="1"/>
      </xdr:nvSpPr>
      <xdr:spPr>
        <a:xfrm>
          <a:off x="6629400" y="609600"/>
          <a:ext cx="76708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0">
              <a:solidFill>
                <a:srgbClr val="64748B"/>
              </a:solidFill>
              <a:latin typeface="Segoe UI" panose="020B0502040204020203" pitchFamily="34" charset="0"/>
            </a:rPr>
            <a:t>Rendas</a:t>
          </a:r>
        </a:p>
      </xdr:txBody>
    </xdr:sp>
    <xdr:clientData/>
  </xdr:twoCellAnchor>
  <xdr:twoCellAnchor editAs="absolute">
    <xdr:from>
      <xdr:col>3</xdr:col>
      <xdr:colOff>3380105</xdr:colOff>
      <xdr:row>1</xdr:row>
      <xdr:rowOff>57150</xdr:rowOff>
    </xdr:from>
    <xdr:to>
      <xdr:col>3</xdr:col>
      <xdr:colOff>4472305</xdr:colOff>
      <xdr:row>1</xdr:row>
      <xdr:rowOff>361950</xdr:rowOff>
    </xdr:to>
    <xdr:sp macro="[0]!Navegar" textlink="">
      <xdr:nvSpPr>
        <xdr:cNvPr id="20" name="nav_8">
          <a:extLst>
            <a:ext uri="{FF2B5EF4-FFF2-40B4-BE49-F238E27FC236}">
              <a16:creationId xmlns:a16="http://schemas.microsoft.com/office/drawing/2014/main" id="{CE2A9973-2100-19FF-BE91-9754DAF2C224}"/>
            </a:ext>
          </a:extLst>
        </xdr:cNvPr>
        <xdr:cNvSpPr txBox="1"/>
      </xdr:nvSpPr>
      <xdr:spPr>
        <a:xfrm>
          <a:off x="7447280" y="609600"/>
          <a:ext cx="10922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rIns="0" rtlCol="0" anchor="ctr"/>
        <a:lstStyle/>
        <a:p>
          <a:pPr algn="ctr"/>
          <a:r>
            <a:rPr lang="pt-BR" sz="950" b="1">
              <a:solidFill>
                <a:srgbClr val="0B1F3A"/>
              </a:solidFill>
              <a:latin typeface="Segoe UI" panose="020B0502040204020203" pitchFamily="34" charset="0"/>
            </a:rPr>
            <a:t>Categorias</a:t>
          </a:r>
        </a:p>
      </xdr:txBody>
    </xdr:sp>
    <xdr:clientData/>
  </xdr:twoCellAnchor>
  <xdr:twoCellAnchor editAs="absolute">
    <xdr:from>
      <xdr:col>3</xdr:col>
      <xdr:colOff>3456305</xdr:colOff>
      <xdr:row>1</xdr:row>
      <xdr:rowOff>349250</xdr:rowOff>
    </xdr:from>
    <xdr:to>
      <xdr:col>3</xdr:col>
      <xdr:colOff>4396105</xdr:colOff>
      <xdr:row>2</xdr:row>
      <xdr:rowOff>6350</xdr:rowOff>
    </xdr:to>
    <xdr:sp macro="" textlink="">
      <xdr:nvSpPr>
        <xdr:cNvPr id="21" name="navAtivo">
          <a:extLst>
            <a:ext uri="{FF2B5EF4-FFF2-40B4-BE49-F238E27FC236}">
              <a16:creationId xmlns:a16="http://schemas.microsoft.com/office/drawing/2014/main" id="{DD3C93DD-318C-0A28-1D30-F44A0EDC5261}"/>
            </a:ext>
          </a:extLst>
        </xdr:cNvPr>
        <xdr:cNvSpPr/>
      </xdr:nvSpPr>
      <xdr:spPr>
        <a:xfrm>
          <a:off x="7523480" y="901700"/>
          <a:ext cx="939800" cy="38100"/>
        </a:xfrm>
        <a:prstGeom prst="rect">
          <a:avLst/>
        </a:prstGeom>
        <a:solidFill>
          <a:srgbClr val="C9A22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4</xdr:col>
      <xdr:colOff>8255</xdr:colOff>
      <xdr:row>1</xdr:row>
      <xdr:rowOff>69850</xdr:rowOff>
    </xdr:from>
    <xdr:to>
      <xdr:col>5</xdr:col>
      <xdr:colOff>824230</xdr:colOff>
      <xdr:row>1</xdr:row>
      <xdr:rowOff>323850</xdr:rowOff>
    </xdr:to>
    <xdr:sp macro="[0]!AtualizarPainel" textlink="">
      <xdr:nvSpPr>
        <xdr:cNvPr id="22" name="btAtualizarPainel19">
          <a:extLst>
            <a:ext uri="{FF2B5EF4-FFF2-40B4-BE49-F238E27FC236}">
              <a16:creationId xmlns:a16="http://schemas.microsoft.com/office/drawing/2014/main" id="{95312A25-0723-C429-239A-A46CB3F40084}"/>
            </a:ext>
          </a:extLst>
        </xdr:cNvPr>
        <xdr:cNvSpPr/>
      </xdr:nvSpPr>
      <xdr:spPr>
        <a:xfrm>
          <a:off x="8742680" y="622300"/>
          <a:ext cx="1016000" cy="254000"/>
        </a:xfrm>
        <a:prstGeom prst="roundRect">
          <a:avLst>
            <a:gd name="adj" fmla="val 20000"/>
          </a:avLst>
        </a:prstGeom>
        <a:solidFill>
          <a:srgbClr val="FFFFFF"/>
        </a:solidFill>
        <a:ln w="9525">
          <a:solidFill>
            <a:srgbClr val="E2E8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25400" tIns="0" rIns="25400" bIns="0" rtlCol="0" anchor="ctr"/>
        <a:lstStyle/>
        <a:p>
          <a:pPr algn="ctr"/>
          <a:r>
            <a:rPr lang="pt-BR" sz="850" b="1">
              <a:solidFill>
                <a:srgbClr val="2A6FB8"/>
              </a:solidFill>
              <a:latin typeface="Segoe UI" panose="020B0502040204020203" pitchFamily="34" charset="0"/>
            </a:rPr>
            <a:t>Atualizar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heus vinicius" refreshedDate="46291.509686342593" createdVersion="8" refreshedVersion="8" minRefreshableVersion="3" recordCount="204" xr:uid="{0E4669FF-220E-407F-9A6E-7A4332922A28}">
  <cacheSource type="worksheet">
    <worksheetSource name="tbLancamentos"/>
  </cacheSource>
  <cacheFields count="11">
    <cacheField name="Data" numFmtId="14">
      <sharedItems containsSemiMixedTypes="0" containsNonDate="0" containsDate="1" containsString="0" minDate="2025-01-01T00:00:00" maxDate="2025-12-02T00:00:00"/>
    </cacheField>
    <cacheField name="Mês" numFmtId="0">
      <sharedItems containsSemiMixedTypes="0" containsString="0" containsNumber="1" containsInteger="1" minValue="1" maxValue="12"/>
    </cacheField>
    <cacheField name="Código" numFmtId="0">
      <sharedItems containsSemiMixedTypes="0" containsString="0" containsNumber="1" containsInteger="1" minValue="4" maxValue="44"/>
    </cacheField>
    <cacheField name="Grupo" numFmtId="0">
      <sharedItems count="5">
        <s v="Moradia"/>
        <s v="Alimentação"/>
        <s v="Comunicação"/>
        <s v="Transporte"/>
        <s v="Cartões e Dívidas"/>
      </sharedItems>
    </cacheField>
    <cacheField name="Subcategoria" numFmtId="0">
      <sharedItems count="17">
        <s v="Energia"/>
        <s v="Água"/>
        <s v="Gás"/>
        <s v="Supermercado"/>
        <s v="Restaurante"/>
        <s v="Café / Almoço"/>
        <s v="Celular"/>
        <s v="Internet"/>
        <s v="Streaming (outros)"/>
        <s v="Netflix"/>
        <s v="Amazon Prime"/>
        <s v="Max"/>
        <s v="Aplicativos (Uber / 99)"/>
        <s v="Transporte Trabalho (Jhenis)"/>
        <s v="Transporte Trabalho (Matheus)"/>
        <s v="Cartão Jhenismara"/>
        <s v="Cartão Matheus"/>
      </sharedItems>
    </cacheField>
    <cacheField name="Descrição" numFmtId="0">
      <sharedItems/>
    </cacheField>
    <cacheField name="Valor" numFmtId="164">
      <sharedItems containsSemiMixedTypes="0" containsString="0" containsNumber="1" containsInteger="1" minValue="11" maxValue="1400"/>
    </cacheField>
    <cacheField name="Pagamento" numFmtId="0">
      <sharedItems containsNonDate="0" containsString="0" containsBlank="1" count="1">
        <m/>
      </sharedItems>
    </cacheField>
    <cacheField name="Responsável" numFmtId="0">
      <sharedItems containsNonDate="0" containsString="0" containsBlank="1" count="1">
        <m/>
      </sharedItems>
    </cacheField>
    <cacheField name="Origem" numFmtId="0">
      <sharedItems/>
    </cacheField>
    <cacheField name="Mês Ref" numFmtId="0">
      <sharedItems count="12">
        <s v="01-JAN"/>
        <s v="02-FEV"/>
        <s v="03-MAR"/>
        <s v="04-ABR"/>
        <s v="05-MAI"/>
        <s v="06-JUN"/>
        <s v="07-JUL"/>
        <s v="08-AGO"/>
        <s v="09-SET"/>
        <s v="10-OUT"/>
        <s v="11-NOV"/>
        <s v="12-DEZ"/>
      </sharedItems>
    </cacheField>
  </cacheFields>
  <extLst>
    <ext xmlns:x14="http://schemas.microsoft.com/office/spreadsheetml/2009/9/main" uri="{725AE2AE-9491-48be-B2B4-4EB974FC3084}">
      <x14:pivotCacheDefinition pivotCacheId="5863078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d v="2025-01-01T00:00:00"/>
    <n v="1"/>
    <n v="6"/>
    <x v="0"/>
    <x v="0"/>
    <s v="Energia – valor mensal"/>
    <n v="150"/>
    <x v="0"/>
    <x v="0"/>
    <s v="Migrado"/>
    <x v="0"/>
  </r>
  <r>
    <d v="2025-01-01T00:00:00"/>
    <n v="1"/>
    <n v="7"/>
    <x v="0"/>
    <x v="1"/>
    <s v="Água – valor mensal"/>
    <n v="77"/>
    <x v="0"/>
    <x v="0"/>
    <s v="Migrado"/>
    <x v="0"/>
  </r>
  <r>
    <d v="2025-01-01T00:00:00"/>
    <n v="1"/>
    <n v="8"/>
    <x v="0"/>
    <x v="2"/>
    <s v="Gás – valor mensal"/>
    <n v="55"/>
    <x v="0"/>
    <x v="0"/>
    <s v="Migrado"/>
    <x v="0"/>
  </r>
  <r>
    <d v="2025-01-01T00:00:00"/>
    <n v="1"/>
    <n v="11"/>
    <x v="1"/>
    <x v="3"/>
    <s v="Supermercado – valor mensal"/>
    <n v="450"/>
    <x v="0"/>
    <x v="0"/>
    <s v="Migrado"/>
    <x v="0"/>
  </r>
  <r>
    <d v="2025-01-01T00:00:00"/>
    <n v="1"/>
    <n v="12"/>
    <x v="1"/>
    <x v="4"/>
    <s v="Restaurante – valor mensal"/>
    <n v="140"/>
    <x v="0"/>
    <x v="0"/>
    <s v="Migrado"/>
    <x v="0"/>
  </r>
  <r>
    <d v="2025-01-01T00:00:00"/>
    <n v="1"/>
    <n v="13"/>
    <x v="1"/>
    <x v="5"/>
    <s v="Café / Almoço – valor mensal"/>
    <n v="250"/>
    <x v="0"/>
    <x v="0"/>
    <s v="Migrado"/>
    <x v="0"/>
  </r>
  <r>
    <d v="2025-01-01T00:00:00"/>
    <n v="1"/>
    <n v="15"/>
    <x v="2"/>
    <x v="6"/>
    <s v="Celular – valor mensal"/>
    <n v="45"/>
    <x v="0"/>
    <x v="0"/>
    <s v="Migrado"/>
    <x v="0"/>
  </r>
  <r>
    <d v="2025-01-01T00:00:00"/>
    <n v="1"/>
    <n v="16"/>
    <x v="2"/>
    <x v="7"/>
    <s v="Internet – valor mensal"/>
    <n v="89"/>
    <x v="0"/>
    <x v="0"/>
    <s v="Migrado"/>
    <x v="0"/>
  </r>
  <r>
    <d v="2025-01-01T00:00:00"/>
    <n v="1"/>
    <n v="17"/>
    <x v="2"/>
    <x v="8"/>
    <s v="Streaming (outros) – valor mensal"/>
    <n v="24"/>
    <x v="0"/>
    <x v="0"/>
    <s v="Migrado"/>
    <x v="0"/>
  </r>
  <r>
    <d v="2025-01-01T00:00:00"/>
    <n v="1"/>
    <n v="18"/>
    <x v="2"/>
    <x v="9"/>
    <s v="Netflix – valor mensal"/>
    <n v="22"/>
    <x v="0"/>
    <x v="0"/>
    <s v="Migrado"/>
    <x v="0"/>
  </r>
  <r>
    <d v="2025-01-01T00:00:00"/>
    <n v="1"/>
    <n v="19"/>
    <x v="2"/>
    <x v="10"/>
    <s v="Amazon Prime – valor mensal"/>
    <n v="11"/>
    <x v="0"/>
    <x v="0"/>
    <s v="Migrado"/>
    <x v="0"/>
  </r>
  <r>
    <d v="2025-01-01T00:00:00"/>
    <n v="1"/>
    <n v="20"/>
    <x v="2"/>
    <x v="11"/>
    <s v="Max – valor mensal"/>
    <n v="45"/>
    <x v="0"/>
    <x v="0"/>
    <s v="Migrado"/>
    <x v="0"/>
  </r>
  <r>
    <d v="2025-01-01T00:00:00"/>
    <n v="1"/>
    <n v="40"/>
    <x v="3"/>
    <x v="12"/>
    <s v="Aplicativos (Uber / 99) – valor mensal"/>
    <n v="45"/>
    <x v="0"/>
    <x v="0"/>
    <s v="Migrado"/>
    <x v="0"/>
  </r>
  <r>
    <d v="2025-01-01T00:00:00"/>
    <n v="1"/>
    <n v="43"/>
    <x v="3"/>
    <x v="13"/>
    <s v="Transporte Trabalho (Jhenis) – valor mensal"/>
    <n v="143"/>
    <x v="0"/>
    <x v="0"/>
    <s v="Migrado"/>
    <x v="0"/>
  </r>
  <r>
    <d v="2025-01-01T00:00:00"/>
    <n v="1"/>
    <n v="44"/>
    <x v="3"/>
    <x v="14"/>
    <s v="Transporte Trabalho (Matheus) – valor mensal"/>
    <n v="240"/>
    <x v="0"/>
    <x v="0"/>
    <s v="Migrado"/>
    <x v="0"/>
  </r>
  <r>
    <d v="2025-01-01T00:00:00"/>
    <n v="1"/>
    <n v="4"/>
    <x v="4"/>
    <x v="15"/>
    <s v="Cartão Jhenismara – valor mensal"/>
    <n v="1400"/>
    <x v="0"/>
    <x v="0"/>
    <s v="Migrado"/>
    <x v="0"/>
  </r>
  <r>
    <d v="2025-01-01T00:00:00"/>
    <n v="1"/>
    <n v="9"/>
    <x v="4"/>
    <x v="16"/>
    <s v="Cartão Matheus – valor mensal"/>
    <n v="175"/>
    <x v="0"/>
    <x v="0"/>
    <s v="Migrado"/>
    <x v="0"/>
  </r>
  <r>
    <d v="2025-02-01T00:00:00"/>
    <n v="2"/>
    <n v="6"/>
    <x v="0"/>
    <x v="0"/>
    <s v="Energia – valor mensal"/>
    <n v="150"/>
    <x v="0"/>
    <x v="0"/>
    <s v="Migrado"/>
    <x v="1"/>
  </r>
  <r>
    <d v="2025-02-01T00:00:00"/>
    <n v="2"/>
    <n v="7"/>
    <x v="0"/>
    <x v="1"/>
    <s v="Água – valor mensal"/>
    <n v="77"/>
    <x v="0"/>
    <x v="0"/>
    <s v="Migrado"/>
    <x v="1"/>
  </r>
  <r>
    <d v="2025-02-01T00:00:00"/>
    <n v="2"/>
    <n v="8"/>
    <x v="0"/>
    <x v="2"/>
    <s v="Gás – valor mensal"/>
    <n v="55"/>
    <x v="0"/>
    <x v="0"/>
    <s v="Migrado"/>
    <x v="1"/>
  </r>
  <r>
    <d v="2025-02-01T00:00:00"/>
    <n v="2"/>
    <n v="11"/>
    <x v="1"/>
    <x v="3"/>
    <s v="Supermercado – valor mensal"/>
    <n v="450"/>
    <x v="0"/>
    <x v="0"/>
    <s v="Migrado"/>
    <x v="1"/>
  </r>
  <r>
    <d v="2025-02-01T00:00:00"/>
    <n v="2"/>
    <n v="12"/>
    <x v="1"/>
    <x v="4"/>
    <s v="Restaurante – valor mensal"/>
    <n v="140"/>
    <x v="0"/>
    <x v="0"/>
    <s v="Migrado"/>
    <x v="1"/>
  </r>
  <r>
    <d v="2025-02-01T00:00:00"/>
    <n v="2"/>
    <n v="13"/>
    <x v="1"/>
    <x v="5"/>
    <s v="Café / Almoço – valor mensal"/>
    <n v="250"/>
    <x v="0"/>
    <x v="0"/>
    <s v="Migrado"/>
    <x v="1"/>
  </r>
  <r>
    <d v="2025-02-01T00:00:00"/>
    <n v="2"/>
    <n v="15"/>
    <x v="2"/>
    <x v="6"/>
    <s v="Celular – valor mensal"/>
    <n v="45"/>
    <x v="0"/>
    <x v="0"/>
    <s v="Migrado"/>
    <x v="1"/>
  </r>
  <r>
    <d v="2025-02-01T00:00:00"/>
    <n v="2"/>
    <n v="16"/>
    <x v="2"/>
    <x v="7"/>
    <s v="Internet – valor mensal"/>
    <n v="89"/>
    <x v="0"/>
    <x v="0"/>
    <s v="Migrado"/>
    <x v="1"/>
  </r>
  <r>
    <d v="2025-02-01T00:00:00"/>
    <n v="2"/>
    <n v="17"/>
    <x v="2"/>
    <x v="8"/>
    <s v="Streaming (outros) – valor mensal"/>
    <n v="24"/>
    <x v="0"/>
    <x v="0"/>
    <s v="Migrado"/>
    <x v="1"/>
  </r>
  <r>
    <d v="2025-02-01T00:00:00"/>
    <n v="2"/>
    <n v="18"/>
    <x v="2"/>
    <x v="9"/>
    <s v="Netflix – valor mensal"/>
    <n v="22"/>
    <x v="0"/>
    <x v="0"/>
    <s v="Migrado"/>
    <x v="1"/>
  </r>
  <r>
    <d v="2025-02-01T00:00:00"/>
    <n v="2"/>
    <n v="19"/>
    <x v="2"/>
    <x v="10"/>
    <s v="Amazon Prime – valor mensal"/>
    <n v="11"/>
    <x v="0"/>
    <x v="0"/>
    <s v="Migrado"/>
    <x v="1"/>
  </r>
  <r>
    <d v="2025-02-01T00:00:00"/>
    <n v="2"/>
    <n v="20"/>
    <x v="2"/>
    <x v="11"/>
    <s v="Max – valor mensal"/>
    <n v="45"/>
    <x v="0"/>
    <x v="0"/>
    <s v="Migrado"/>
    <x v="1"/>
  </r>
  <r>
    <d v="2025-02-01T00:00:00"/>
    <n v="2"/>
    <n v="40"/>
    <x v="3"/>
    <x v="12"/>
    <s v="Aplicativos (Uber / 99) – valor mensal"/>
    <n v="45"/>
    <x v="0"/>
    <x v="0"/>
    <s v="Migrado"/>
    <x v="1"/>
  </r>
  <r>
    <d v="2025-02-01T00:00:00"/>
    <n v="2"/>
    <n v="43"/>
    <x v="3"/>
    <x v="13"/>
    <s v="Transporte Trabalho (Jhenis) – valor mensal"/>
    <n v="143"/>
    <x v="0"/>
    <x v="0"/>
    <s v="Migrado"/>
    <x v="1"/>
  </r>
  <r>
    <d v="2025-02-01T00:00:00"/>
    <n v="2"/>
    <n v="44"/>
    <x v="3"/>
    <x v="14"/>
    <s v="Transporte Trabalho (Matheus) – valor mensal"/>
    <n v="240"/>
    <x v="0"/>
    <x v="0"/>
    <s v="Migrado"/>
    <x v="1"/>
  </r>
  <r>
    <d v="2025-02-01T00:00:00"/>
    <n v="2"/>
    <n v="4"/>
    <x v="4"/>
    <x v="15"/>
    <s v="Cartão Jhenismara – valor mensal"/>
    <n v="1400"/>
    <x v="0"/>
    <x v="0"/>
    <s v="Migrado"/>
    <x v="1"/>
  </r>
  <r>
    <d v="2025-02-01T00:00:00"/>
    <n v="2"/>
    <n v="9"/>
    <x v="4"/>
    <x v="16"/>
    <s v="Cartão Matheus – valor mensal"/>
    <n v="175"/>
    <x v="0"/>
    <x v="0"/>
    <s v="Migrado"/>
    <x v="1"/>
  </r>
  <r>
    <d v="2025-03-01T00:00:00"/>
    <n v="3"/>
    <n v="6"/>
    <x v="0"/>
    <x v="0"/>
    <s v="Energia – valor mensal"/>
    <n v="150"/>
    <x v="0"/>
    <x v="0"/>
    <s v="Migrado"/>
    <x v="2"/>
  </r>
  <r>
    <d v="2025-03-01T00:00:00"/>
    <n v="3"/>
    <n v="7"/>
    <x v="0"/>
    <x v="1"/>
    <s v="Água – valor mensal"/>
    <n v="77"/>
    <x v="0"/>
    <x v="0"/>
    <s v="Migrado"/>
    <x v="2"/>
  </r>
  <r>
    <d v="2025-03-01T00:00:00"/>
    <n v="3"/>
    <n v="8"/>
    <x v="0"/>
    <x v="2"/>
    <s v="Gás – valor mensal"/>
    <n v="55"/>
    <x v="0"/>
    <x v="0"/>
    <s v="Migrado"/>
    <x v="2"/>
  </r>
  <r>
    <d v="2025-03-01T00:00:00"/>
    <n v="3"/>
    <n v="11"/>
    <x v="1"/>
    <x v="3"/>
    <s v="Supermercado – valor mensal"/>
    <n v="450"/>
    <x v="0"/>
    <x v="0"/>
    <s v="Migrado"/>
    <x v="2"/>
  </r>
  <r>
    <d v="2025-03-01T00:00:00"/>
    <n v="3"/>
    <n v="12"/>
    <x v="1"/>
    <x v="4"/>
    <s v="Restaurante – valor mensal"/>
    <n v="140"/>
    <x v="0"/>
    <x v="0"/>
    <s v="Migrado"/>
    <x v="2"/>
  </r>
  <r>
    <d v="2025-03-01T00:00:00"/>
    <n v="3"/>
    <n v="13"/>
    <x v="1"/>
    <x v="5"/>
    <s v="Café / Almoço – valor mensal"/>
    <n v="250"/>
    <x v="0"/>
    <x v="0"/>
    <s v="Migrado"/>
    <x v="2"/>
  </r>
  <r>
    <d v="2025-03-01T00:00:00"/>
    <n v="3"/>
    <n v="15"/>
    <x v="2"/>
    <x v="6"/>
    <s v="Celular – valor mensal"/>
    <n v="45"/>
    <x v="0"/>
    <x v="0"/>
    <s v="Migrado"/>
    <x v="2"/>
  </r>
  <r>
    <d v="2025-03-01T00:00:00"/>
    <n v="3"/>
    <n v="16"/>
    <x v="2"/>
    <x v="7"/>
    <s v="Internet – valor mensal"/>
    <n v="89"/>
    <x v="0"/>
    <x v="0"/>
    <s v="Migrado"/>
    <x v="2"/>
  </r>
  <r>
    <d v="2025-03-01T00:00:00"/>
    <n v="3"/>
    <n v="17"/>
    <x v="2"/>
    <x v="8"/>
    <s v="Streaming (outros) – valor mensal"/>
    <n v="24"/>
    <x v="0"/>
    <x v="0"/>
    <s v="Migrado"/>
    <x v="2"/>
  </r>
  <r>
    <d v="2025-03-01T00:00:00"/>
    <n v="3"/>
    <n v="18"/>
    <x v="2"/>
    <x v="9"/>
    <s v="Netflix – valor mensal"/>
    <n v="22"/>
    <x v="0"/>
    <x v="0"/>
    <s v="Migrado"/>
    <x v="2"/>
  </r>
  <r>
    <d v="2025-03-01T00:00:00"/>
    <n v="3"/>
    <n v="19"/>
    <x v="2"/>
    <x v="10"/>
    <s v="Amazon Prime – valor mensal"/>
    <n v="11"/>
    <x v="0"/>
    <x v="0"/>
    <s v="Migrado"/>
    <x v="2"/>
  </r>
  <r>
    <d v="2025-03-01T00:00:00"/>
    <n v="3"/>
    <n v="20"/>
    <x v="2"/>
    <x v="11"/>
    <s v="Max – valor mensal"/>
    <n v="45"/>
    <x v="0"/>
    <x v="0"/>
    <s v="Migrado"/>
    <x v="2"/>
  </r>
  <r>
    <d v="2025-03-01T00:00:00"/>
    <n v="3"/>
    <n v="40"/>
    <x v="3"/>
    <x v="12"/>
    <s v="Aplicativos (Uber / 99) – valor mensal"/>
    <n v="45"/>
    <x v="0"/>
    <x v="0"/>
    <s v="Migrado"/>
    <x v="2"/>
  </r>
  <r>
    <d v="2025-03-01T00:00:00"/>
    <n v="3"/>
    <n v="43"/>
    <x v="3"/>
    <x v="13"/>
    <s v="Transporte Trabalho (Jhenis) – valor mensal"/>
    <n v="143"/>
    <x v="0"/>
    <x v="0"/>
    <s v="Migrado"/>
    <x v="2"/>
  </r>
  <r>
    <d v="2025-03-01T00:00:00"/>
    <n v="3"/>
    <n v="44"/>
    <x v="3"/>
    <x v="14"/>
    <s v="Transporte Trabalho (Matheus) – valor mensal"/>
    <n v="240"/>
    <x v="0"/>
    <x v="0"/>
    <s v="Migrado"/>
    <x v="2"/>
  </r>
  <r>
    <d v="2025-03-01T00:00:00"/>
    <n v="3"/>
    <n v="4"/>
    <x v="4"/>
    <x v="15"/>
    <s v="Cartão Jhenismara – valor mensal"/>
    <n v="1400"/>
    <x v="0"/>
    <x v="0"/>
    <s v="Migrado"/>
    <x v="2"/>
  </r>
  <r>
    <d v="2025-03-01T00:00:00"/>
    <n v="3"/>
    <n v="9"/>
    <x v="4"/>
    <x v="16"/>
    <s v="Cartão Matheus – valor mensal"/>
    <n v="175"/>
    <x v="0"/>
    <x v="0"/>
    <s v="Migrado"/>
    <x v="2"/>
  </r>
  <r>
    <d v="2025-04-01T00:00:00"/>
    <n v="4"/>
    <n v="6"/>
    <x v="0"/>
    <x v="0"/>
    <s v="Energia – valor mensal"/>
    <n v="150"/>
    <x v="0"/>
    <x v="0"/>
    <s v="Migrado"/>
    <x v="3"/>
  </r>
  <r>
    <d v="2025-04-01T00:00:00"/>
    <n v="4"/>
    <n v="7"/>
    <x v="0"/>
    <x v="1"/>
    <s v="Água – valor mensal"/>
    <n v="77"/>
    <x v="0"/>
    <x v="0"/>
    <s v="Migrado"/>
    <x v="3"/>
  </r>
  <r>
    <d v="2025-04-01T00:00:00"/>
    <n v="4"/>
    <n v="8"/>
    <x v="0"/>
    <x v="2"/>
    <s v="Gás – valor mensal"/>
    <n v="55"/>
    <x v="0"/>
    <x v="0"/>
    <s v="Migrado"/>
    <x v="3"/>
  </r>
  <r>
    <d v="2025-04-01T00:00:00"/>
    <n v="4"/>
    <n v="11"/>
    <x v="1"/>
    <x v="3"/>
    <s v="Supermercado – valor mensal"/>
    <n v="450"/>
    <x v="0"/>
    <x v="0"/>
    <s v="Migrado"/>
    <x v="3"/>
  </r>
  <r>
    <d v="2025-04-01T00:00:00"/>
    <n v="4"/>
    <n v="12"/>
    <x v="1"/>
    <x v="4"/>
    <s v="Restaurante – valor mensal"/>
    <n v="140"/>
    <x v="0"/>
    <x v="0"/>
    <s v="Migrado"/>
    <x v="3"/>
  </r>
  <r>
    <d v="2025-04-01T00:00:00"/>
    <n v="4"/>
    <n v="13"/>
    <x v="1"/>
    <x v="5"/>
    <s v="Café / Almoço – valor mensal"/>
    <n v="250"/>
    <x v="0"/>
    <x v="0"/>
    <s v="Migrado"/>
    <x v="3"/>
  </r>
  <r>
    <d v="2025-04-01T00:00:00"/>
    <n v="4"/>
    <n v="15"/>
    <x v="2"/>
    <x v="6"/>
    <s v="Celular – valor mensal"/>
    <n v="45"/>
    <x v="0"/>
    <x v="0"/>
    <s v="Migrado"/>
    <x v="3"/>
  </r>
  <r>
    <d v="2025-04-01T00:00:00"/>
    <n v="4"/>
    <n v="16"/>
    <x v="2"/>
    <x v="7"/>
    <s v="Internet – valor mensal"/>
    <n v="89"/>
    <x v="0"/>
    <x v="0"/>
    <s v="Migrado"/>
    <x v="3"/>
  </r>
  <r>
    <d v="2025-04-01T00:00:00"/>
    <n v="4"/>
    <n v="17"/>
    <x v="2"/>
    <x v="8"/>
    <s v="Streaming (outros) – valor mensal"/>
    <n v="24"/>
    <x v="0"/>
    <x v="0"/>
    <s v="Migrado"/>
    <x v="3"/>
  </r>
  <r>
    <d v="2025-04-01T00:00:00"/>
    <n v="4"/>
    <n v="18"/>
    <x v="2"/>
    <x v="9"/>
    <s v="Netflix – valor mensal"/>
    <n v="22"/>
    <x v="0"/>
    <x v="0"/>
    <s v="Migrado"/>
    <x v="3"/>
  </r>
  <r>
    <d v="2025-04-01T00:00:00"/>
    <n v="4"/>
    <n v="19"/>
    <x v="2"/>
    <x v="10"/>
    <s v="Amazon Prime – valor mensal"/>
    <n v="11"/>
    <x v="0"/>
    <x v="0"/>
    <s v="Migrado"/>
    <x v="3"/>
  </r>
  <r>
    <d v="2025-04-01T00:00:00"/>
    <n v="4"/>
    <n v="20"/>
    <x v="2"/>
    <x v="11"/>
    <s v="Max – valor mensal"/>
    <n v="45"/>
    <x v="0"/>
    <x v="0"/>
    <s v="Migrado"/>
    <x v="3"/>
  </r>
  <r>
    <d v="2025-04-01T00:00:00"/>
    <n v="4"/>
    <n v="40"/>
    <x v="3"/>
    <x v="12"/>
    <s v="Aplicativos (Uber / 99) – valor mensal"/>
    <n v="45"/>
    <x v="0"/>
    <x v="0"/>
    <s v="Migrado"/>
    <x v="3"/>
  </r>
  <r>
    <d v="2025-04-01T00:00:00"/>
    <n v="4"/>
    <n v="43"/>
    <x v="3"/>
    <x v="13"/>
    <s v="Transporte Trabalho (Jhenis) – valor mensal"/>
    <n v="143"/>
    <x v="0"/>
    <x v="0"/>
    <s v="Migrado"/>
    <x v="3"/>
  </r>
  <r>
    <d v="2025-04-01T00:00:00"/>
    <n v="4"/>
    <n v="44"/>
    <x v="3"/>
    <x v="14"/>
    <s v="Transporte Trabalho (Matheus) – valor mensal"/>
    <n v="240"/>
    <x v="0"/>
    <x v="0"/>
    <s v="Migrado"/>
    <x v="3"/>
  </r>
  <r>
    <d v="2025-04-01T00:00:00"/>
    <n v="4"/>
    <n v="4"/>
    <x v="4"/>
    <x v="15"/>
    <s v="Cartão Jhenismara – valor mensal"/>
    <n v="1400"/>
    <x v="0"/>
    <x v="0"/>
    <s v="Migrado"/>
    <x v="3"/>
  </r>
  <r>
    <d v="2025-04-01T00:00:00"/>
    <n v="4"/>
    <n v="9"/>
    <x v="4"/>
    <x v="16"/>
    <s v="Cartão Matheus – valor mensal"/>
    <n v="175"/>
    <x v="0"/>
    <x v="0"/>
    <s v="Migrado"/>
    <x v="3"/>
  </r>
  <r>
    <d v="2025-05-01T00:00:00"/>
    <n v="5"/>
    <n v="6"/>
    <x v="0"/>
    <x v="0"/>
    <s v="Energia – valor mensal"/>
    <n v="150"/>
    <x v="0"/>
    <x v="0"/>
    <s v="Migrado"/>
    <x v="4"/>
  </r>
  <r>
    <d v="2025-05-01T00:00:00"/>
    <n v="5"/>
    <n v="7"/>
    <x v="0"/>
    <x v="1"/>
    <s v="Água – valor mensal"/>
    <n v="77"/>
    <x v="0"/>
    <x v="0"/>
    <s v="Migrado"/>
    <x v="4"/>
  </r>
  <r>
    <d v="2025-05-01T00:00:00"/>
    <n v="5"/>
    <n v="8"/>
    <x v="0"/>
    <x v="2"/>
    <s v="Gás – valor mensal"/>
    <n v="55"/>
    <x v="0"/>
    <x v="0"/>
    <s v="Migrado"/>
    <x v="4"/>
  </r>
  <r>
    <d v="2025-05-01T00:00:00"/>
    <n v="5"/>
    <n v="11"/>
    <x v="1"/>
    <x v="3"/>
    <s v="Supermercado – valor mensal"/>
    <n v="450"/>
    <x v="0"/>
    <x v="0"/>
    <s v="Migrado"/>
    <x v="4"/>
  </r>
  <r>
    <d v="2025-05-01T00:00:00"/>
    <n v="5"/>
    <n v="12"/>
    <x v="1"/>
    <x v="4"/>
    <s v="Restaurante – valor mensal"/>
    <n v="140"/>
    <x v="0"/>
    <x v="0"/>
    <s v="Migrado"/>
    <x v="4"/>
  </r>
  <r>
    <d v="2025-05-01T00:00:00"/>
    <n v="5"/>
    <n v="13"/>
    <x v="1"/>
    <x v="5"/>
    <s v="Café / Almoço – valor mensal"/>
    <n v="250"/>
    <x v="0"/>
    <x v="0"/>
    <s v="Migrado"/>
    <x v="4"/>
  </r>
  <r>
    <d v="2025-05-01T00:00:00"/>
    <n v="5"/>
    <n v="15"/>
    <x v="2"/>
    <x v="6"/>
    <s v="Celular – valor mensal"/>
    <n v="45"/>
    <x v="0"/>
    <x v="0"/>
    <s v="Migrado"/>
    <x v="4"/>
  </r>
  <r>
    <d v="2025-05-01T00:00:00"/>
    <n v="5"/>
    <n v="16"/>
    <x v="2"/>
    <x v="7"/>
    <s v="Internet – valor mensal"/>
    <n v="89"/>
    <x v="0"/>
    <x v="0"/>
    <s v="Migrado"/>
    <x v="4"/>
  </r>
  <r>
    <d v="2025-05-01T00:00:00"/>
    <n v="5"/>
    <n v="17"/>
    <x v="2"/>
    <x v="8"/>
    <s v="Streaming (outros) – valor mensal"/>
    <n v="24"/>
    <x v="0"/>
    <x v="0"/>
    <s v="Migrado"/>
    <x v="4"/>
  </r>
  <r>
    <d v="2025-05-01T00:00:00"/>
    <n v="5"/>
    <n v="18"/>
    <x v="2"/>
    <x v="9"/>
    <s v="Netflix – valor mensal"/>
    <n v="22"/>
    <x v="0"/>
    <x v="0"/>
    <s v="Migrado"/>
    <x v="4"/>
  </r>
  <r>
    <d v="2025-05-01T00:00:00"/>
    <n v="5"/>
    <n v="19"/>
    <x v="2"/>
    <x v="10"/>
    <s v="Amazon Prime – valor mensal"/>
    <n v="11"/>
    <x v="0"/>
    <x v="0"/>
    <s v="Migrado"/>
    <x v="4"/>
  </r>
  <r>
    <d v="2025-05-01T00:00:00"/>
    <n v="5"/>
    <n v="20"/>
    <x v="2"/>
    <x v="11"/>
    <s v="Max – valor mensal"/>
    <n v="45"/>
    <x v="0"/>
    <x v="0"/>
    <s v="Migrado"/>
    <x v="4"/>
  </r>
  <r>
    <d v="2025-05-01T00:00:00"/>
    <n v="5"/>
    <n v="40"/>
    <x v="3"/>
    <x v="12"/>
    <s v="Aplicativos (Uber / 99) – valor mensal"/>
    <n v="45"/>
    <x v="0"/>
    <x v="0"/>
    <s v="Migrado"/>
    <x v="4"/>
  </r>
  <r>
    <d v="2025-05-01T00:00:00"/>
    <n v="5"/>
    <n v="43"/>
    <x v="3"/>
    <x v="13"/>
    <s v="Transporte Trabalho (Jhenis) – valor mensal"/>
    <n v="143"/>
    <x v="0"/>
    <x v="0"/>
    <s v="Migrado"/>
    <x v="4"/>
  </r>
  <r>
    <d v="2025-05-01T00:00:00"/>
    <n v="5"/>
    <n v="44"/>
    <x v="3"/>
    <x v="14"/>
    <s v="Transporte Trabalho (Matheus) – valor mensal"/>
    <n v="240"/>
    <x v="0"/>
    <x v="0"/>
    <s v="Migrado"/>
    <x v="4"/>
  </r>
  <r>
    <d v="2025-05-01T00:00:00"/>
    <n v="5"/>
    <n v="4"/>
    <x v="4"/>
    <x v="15"/>
    <s v="Cartão Jhenismara – valor mensal"/>
    <n v="1400"/>
    <x v="0"/>
    <x v="0"/>
    <s v="Migrado"/>
    <x v="4"/>
  </r>
  <r>
    <d v="2025-05-01T00:00:00"/>
    <n v="5"/>
    <n v="9"/>
    <x v="4"/>
    <x v="16"/>
    <s v="Cartão Matheus – valor mensal"/>
    <n v="175"/>
    <x v="0"/>
    <x v="0"/>
    <s v="Migrado"/>
    <x v="4"/>
  </r>
  <r>
    <d v="2025-06-01T00:00:00"/>
    <n v="6"/>
    <n v="6"/>
    <x v="0"/>
    <x v="0"/>
    <s v="Energia – valor mensal"/>
    <n v="150"/>
    <x v="0"/>
    <x v="0"/>
    <s v="Migrado"/>
    <x v="5"/>
  </r>
  <r>
    <d v="2025-06-01T00:00:00"/>
    <n v="6"/>
    <n v="7"/>
    <x v="0"/>
    <x v="1"/>
    <s v="Água – valor mensal"/>
    <n v="77"/>
    <x v="0"/>
    <x v="0"/>
    <s v="Migrado"/>
    <x v="5"/>
  </r>
  <r>
    <d v="2025-06-01T00:00:00"/>
    <n v="6"/>
    <n v="8"/>
    <x v="0"/>
    <x v="2"/>
    <s v="Gás – valor mensal"/>
    <n v="55"/>
    <x v="0"/>
    <x v="0"/>
    <s v="Migrado"/>
    <x v="5"/>
  </r>
  <r>
    <d v="2025-06-01T00:00:00"/>
    <n v="6"/>
    <n v="11"/>
    <x v="1"/>
    <x v="3"/>
    <s v="Supermercado – valor mensal"/>
    <n v="450"/>
    <x v="0"/>
    <x v="0"/>
    <s v="Migrado"/>
    <x v="5"/>
  </r>
  <r>
    <d v="2025-06-01T00:00:00"/>
    <n v="6"/>
    <n v="12"/>
    <x v="1"/>
    <x v="4"/>
    <s v="Restaurante – valor mensal"/>
    <n v="140"/>
    <x v="0"/>
    <x v="0"/>
    <s v="Migrado"/>
    <x v="5"/>
  </r>
  <r>
    <d v="2025-06-01T00:00:00"/>
    <n v="6"/>
    <n v="13"/>
    <x v="1"/>
    <x v="5"/>
    <s v="Café / Almoço – valor mensal"/>
    <n v="250"/>
    <x v="0"/>
    <x v="0"/>
    <s v="Migrado"/>
    <x v="5"/>
  </r>
  <r>
    <d v="2025-06-01T00:00:00"/>
    <n v="6"/>
    <n v="15"/>
    <x v="2"/>
    <x v="6"/>
    <s v="Celular – valor mensal"/>
    <n v="45"/>
    <x v="0"/>
    <x v="0"/>
    <s v="Migrado"/>
    <x v="5"/>
  </r>
  <r>
    <d v="2025-06-01T00:00:00"/>
    <n v="6"/>
    <n v="16"/>
    <x v="2"/>
    <x v="7"/>
    <s v="Internet – valor mensal"/>
    <n v="89"/>
    <x v="0"/>
    <x v="0"/>
    <s v="Migrado"/>
    <x v="5"/>
  </r>
  <r>
    <d v="2025-06-01T00:00:00"/>
    <n v="6"/>
    <n v="17"/>
    <x v="2"/>
    <x v="8"/>
    <s v="Streaming (outros) – valor mensal"/>
    <n v="24"/>
    <x v="0"/>
    <x v="0"/>
    <s v="Migrado"/>
    <x v="5"/>
  </r>
  <r>
    <d v="2025-06-01T00:00:00"/>
    <n v="6"/>
    <n v="18"/>
    <x v="2"/>
    <x v="9"/>
    <s v="Netflix – valor mensal"/>
    <n v="22"/>
    <x v="0"/>
    <x v="0"/>
    <s v="Migrado"/>
    <x v="5"/>
  </r>
  <r>
    <d v="2025-06-01T00:00:00"/>
    <n v="6"/>
    <n v="19"/>
    <x v="2"/>
    <x v="10"/>
    <s v="Amazon Prime – valor mensal"/>
    <n v="11"/>
    <x v="0"/>
    <x v="0"/>
    <s v="Migrado"/>
    <x v="5"/>
  </r>
  <r>
    <d v="2025-06-01T00:00:00"/>
    <n v="6"/>
    <n v="20"/>
    <x v="2"/>
    <x v="11"/>
    <s v="Max – valor mensal"/>
    <n v="45"/>
    <x v="0"/>
    <x v="0"/>
    <s v="Migrado"/>
    <x v="5"/>
  </r>
  <r>
    <d v="2025-06-01T00:00:00"/>
    <n v="6"/>
    <n v="40"/>
    <x v="3"/>
    <x v="12"/>
    <s v="Aplicativos (Uber / 99) – valor mensal"/>
    <n v="45"/>
    <x v="0"/>
    <x v="0"/>
    <s v="Migrado"/>
    <x v="5"/>
  </r>
  <r>
    <d v="2025-06-01T00:00:00"/>
    <n v="6"/>
    <n v="43"/>
    <x v="3"/>
    <x v="13"/>
    <s v="Transporte Trabalho (Jhenis) – valor mensal"/>
    <n v="143"/>
    <x v="0"/>
    <x v="0"/>
    <s v="Migrado"/>
    <x v="5"/>
  </r>
  <r>
    <d v="2025-06-01T00:00:00"/>
    <n v="6"/>
    <n v="44"/>
    <x v="3"/>
    <x v="14"/>
    <s v="Transporte Trabalho (Matheus) – valor mensal"/>
    <n v="240"/>
    <x v="0"/>
    <x v="0"/>
    <s v="Migrado"/>
    <x v="5"/>
  </r>
  <r>
    <d v="2025-06-01T00:00:00"/>
    <n v="6"/>
    <n v="4"/>
    <x v="4"/>
    <x v="15"/>
    <s v="Cartão Jhenismara – valor mensal"/>
    <n v="1400"/>
    <x v="0"/>
    <x v="0"/>
    <s v="Migrado"/>
    <x v="5"/>
  </r>
  <r>
    <d v="2025-06-01T00:00:00"/>
    <n v="6"/>
    <n v="9"/>
    <x v="4"/>
    <x v="16"/>
    <s v="Cartão Matheus – valor mensal"/>
    <n v="175"/>
    <x v="0"/>
    <x v="0"/>
    <s v="Migrado"/>
    <x v="5"/>
  </r>
  <r>
    <d v="2025-07-01T00:00:00"/>
    <n v="7"/>
    <n v="6"/>
    <x v="0"/>
    <x v="0"/>
    <s v="Energia – valor mensal"/>
    <n v="150"/>
    <x v="0"/>
    <x v="0"/>
    <s v="Migrado"/>
    <x v="6"/>
  </r>
  <r>
    <d v="2025-07-01T00:00:00"/>
    <n v="7"/>
    <n v="7"/>
    <x v="0"/>
    <x v="1"/>
    <s v="Água – valor mensal"/>
    <n v="77"/>
    <x v="0"/>
    <x v="0"/>
    <s v="Migrado"/>
    <x v="6"/>
  </r>
  <r>
    <d v="2025-07-01T00:00:00"/>
    <n v="7"/>
    <n v="8"/>
    <x v="0"/>
    <x v="2"/>
    <s v="Gás – valor mensal"/>
    <n v="55"/>
    <x v="0"/>
    <x v="0"/>
    <s v="Migrado"/>
    <x v="6"/>
  </r>
  <r>
    <d v="2025-07-01T00:00:00"/>
    <n v="7"/>
    <n v="11"/>
    <x v="1"/>
    <x v="3"/>
    <s v="Supermercado – valor mensal"/>
    <n v="450"/>
    <x v="0"/>
    <x v="0"/>
    <s v="Migrado"/>
    <x v="6"/>
  </r>
  <r>
    <d v="2025-07-01T00:00:00"/>
    <n v="7"/>
    <n v="12"/>
    <x v="1"/>
    <x v="4"/>
    <s v="Restaurante – valor mensal"/>
    <n v="140"/>
    <x v="0"/>
    <x v="0"/>
    <s v="Migrado"/>
    <x v="6"/>
  </r>
  <r>
    <d v="2025-07-01T00:00:00"/>
    <n v="7"/>
    <n v="13"/>
    <x v="1"/>
    <x v="5"/>
    <s v="Café / Almoço – valor mensal"/>
    <n v="250"/>
    <x v="0"/>
    <x v="0"/>
    <s v="Migrado"/>
    <x v="6"/>
  </r>
  <r>
    <d v="2025-07-01T00:00:00"/>
    <n v="7"/>
    <n v="15"/>
    <x v="2"/>
    <x v="6"/>
    <s v="Celular – valor mensal"/>
    <n v="45"/>
    <x v="0"/>
    <x v="0"/>
    <s v="Migrado"/>
    <x v="6"/>
  </r>
  <r>
    <d v="2025-07-01T00:00:00"/>
    <n v="7"/>
    <n v="16"/>
    <x v="2"/>
    <x v="7"/>
    <s v="Internet – valor mensal"/>
    <n v="89"/>
    <x v="0"/>
    <x v="0"/>
    <s v="Migrado"/>
    <x v="6"/>
  </r>
  <r>
    <d v="2025-07-01T00:00:00"/>
    <n v="7"/>
    <n v="17"/>
    <x v="2"/>
    <x v="8"/>
    <s v="Streaming (outros) – valor mensal"/>
    <n v="24"/>
    <x v="0"/>
    <x v="0"/>
    <s v="Migrado"/>
    <x v="6"/>
  </r>
  <r>
    <d v="2025-07-01T00:00:00"/>
    <n v="7"/>
    <n v="18"/>
    <x v="2"/>
    <x v="9"/>
    <s v="Netflix – valor mensal"/>
    <n v="22"/>
    <x v="0"/>
    <x v="0"/>
    <s v="Migrado"/>
    <x v="6"/>
  </r>
  <r>
    <d v="2025-07-01T00:00:00"/>
    <n v="7"/>
    <n v="19"/>
    <x v="2"/>
    <x v="10"/>
    <s v="Amazon Prime – valor mensal"/>
    <n v="11"/>
    <x v="0"/>
    <x v="0"/>
    <s v="Migrado"/>
    <x v="6"/>
  </r>
  <r>
    <d v="2025-07-01T00:00:00"/>
    <n v="7"/>
    <n v="20"/>
    <x v="2"/>
    <x v="11"/>
    <s v="Max – valor mensal"/>
    <n v="45"/>
    <x v="0"/>
    <x v="0"/>
    <s v="Migrado"/>
    <x v="6"/>
  </r>
  <r>
    <d v="2025-07-01T00:00:00"/>
    <n v="7"/>
    <n v="40"/>
    <x v="3"/>
    <x v="12"/>
    <s v="Aplicativos (Uber / 99) – valor mensal"/>
    <n v="45"/>
    <x v="0"/>
    <x v="0"/>
    <s v="Migrado"/>
    <x v="6"/>
  </r>
  <r>
    <d v="2025-07-01T00:00:00"/>
    <n v="7"/>
    <n v="43"/>
    <x v="3"/>
    <x v="13"/>
    <s v="Transporte Trabalho (Jhenis) – valor mensal"/>
    <n v="143"/>
    <x v="0"/>
    <x v="0"/>
    <s v="Migrado"/>
    <x v="6"/>
  </r>
  <r>
    <d v="2025-07-01T00:00:00"/>
    <n v="7"/>
    <n v="44"/>
    <x v="3"/>
    <x v="14"/>
    <s v="Transporte Trabalho (Matheus) – valor mensal"/>
    <n v="240"/>
    <x v="0"/>
    <x v="0"/>
    <s v="Migrado"/>
    <x v="6"/>
  </r>
  <r>
    <d v="2025-07-01T00:00:00"/>
    <n v="7"/>
    <n v="4"/>
    <x v="4"/>
    <x v="15"/>
    <s v="Cartão Jhenismara – valor mensal"/>
    <n v="1400"/>
    <x v="0"/>
    <x v="0"/>
    <s v="Migrado"/>
    <x v="6"/>
  </r>
  <r>
    <d v="2025-07-01T00:00:00"/>
    <n v="7"/>
    <n v="9"/>
    <x v="4"/>
    <x v="16"/>
    <s v="Cartão Matheus – valor mensal"/>
    <n v="175"/>
    <x v="0"/>
    <x v="0"/>
    <s v="Migrado"/>
    <x v="6"/>
  </r>
  <r>
    <d v="2025-08-01T00:00:00"/>
    <n v="8"/>
    <n v="6"/>
    <x v="0"/>
    <x v="0"/>
    <s v="Energia – valor mensal"/>
    <n v="150"/>
    <x v="0"/>
    <x v="0"/>
    <s v="Migrado"/>
    <x v="7"/>
  </r>
  <r>
    <d v="2025-08-01T00:00:00"/>
    <n v="8"/>
    <n v="7"/>
    <x v="0"/>
    <x v="1"/>
    <s v="Água – valor mensal"/>
    <n v="77"/>
    <x v="0"/>
    <x v="0"/>
    <s v="Migrado"/>
    <x v="7"/>
  </r>
  <r>
    <d v="2025-08-01T00:00:00"/>
    <n v="8"/>
    <n v="8"/>
    <x v="0"/>
    <x v="2"/>
    <s v="Gás – valor mensal"/>
    <n v="55"/>
    <x v="0"/>
    <x v="0"/>
    <s v="Migrado"/>
    <x v="7"/>
  </r>
  <r>
    <d v="2025-08-01T00:00:00"/>
    <n v="8"/>
    <n v="11"/>
    <x v="1"/>
    <x v="3"/>
    <s v="Supermercado – valor mensal"/>
    <n v="450"/>
    <x v="0"/>
    <x v="0"/>
    <s v="Migrado"/>
    <x v="7"/>
  </r>
  <r>
    <d v="2025-08-01T00:00:00"/>
    <n v="8"/>
    <n v="12"/>
    <x v="1"/>
    <x v="4"/>
    <s v="Restaurante – valor mensal"/>
    <n v="140"/>
    <x v="0"/>
    <x v="0"/>
    <s v="Migrado"/>
    <x v="7"/>
  </r>
  <r>
    <d v="2025-08-01T00:00:00"/>
    <n v="8"/>
    <n v="13"/>
    <x v="1"/>
    <x v="5"/>
    <s v="Café / Almoço – valor mensal"/>
    <n v="250"/>
    <x v="0"/>
    <x v="0"/>
    <s v="Migrado"/>
    <x v="7"/>
  </r>
  <r>
    <d v="2025-08-01T00:00:00"/>
    <n v="8"/>
    <n v="15"/>
    <x v="2"/>
    <x v="6"/>
    <s v="Celular – valor mensal"/>
    <n v="45"/>
    <x v="0"/>
    <x v="0"/>
    <s v="Migrado"/>
    <x v="7"/>
  </r>
  <r>
    <d v="2025-08-01T00:00:00"/>
    <n v="8"/>
    <n v="16"/>
    <x v="2"/>
    <x v="7"/>
    <s v="Internet – valor mensal"/>
    <n v="89"/>
    <x v="0"/>
    <x v="0"/>
    <s v="Migrado"/>
    <x v="7"/>
  </r>
  <r>
    <d v="2025-08-01T00:00:00"/>
    <n v="8"/>
    <n v="17"/>
    <x v="2"/>
    <x v="8"/>
    <s v="Streaming (outros) – valor mensal"/>
    <n v="24"/>
    <x v="0"/>
    <x v="0"/>
    <s v="Migrado"/>
    <x v="7"/>
  </r>
  <r>
    <d v="2025-08-01T00:00:00"/>
    <n v="8"/>
    <n v="18"/>
    <x v="2"/>
    <x v="9"/>
    <s v="Netflix – valor mensal"/>
    <n v="22"/>
    <x v="0"/>
    <x v="0"/>
    <s v="Migrado"/>
    <x v="7"/>
  </r>
  <r>
    <d v="2025-08-01T00:00:00"/>
    <n v="8"/>
    <n v="19"/>
    <x v="2"/>
    <x v="10"/>
    <s v="Amazon Prime – valor mensal"/>
    <n v="11"/>
    <x v="0"/>
    <x v="0"/>
    <s v="Migrado"/>
    <x v="7"/>
  </r>
  <r>
    <d v="2025-08-01T00:00:00"/>
    <n v="8"/>
    <n v="20"/>
    <x v="2"/>
    <x v="11"/>
    <s v="Max – valor mensal"/>
    <n v="45"/>
    <x v="0"/>
    <x v="0"/>
    <s v="Migrado"/>
    <x v="7"/>
  </r>
  <r>
    <d v="2025-08-01T00:00:00"/>
    <n v="8"/>
    <n v="40"/>
    <x v="3"/>
    <x v="12"/>
    <s v="Aplicativos (Uber / 99) – valor mensal"/>
    <n v="45"/>
    <x v="0"/>
    <x v="0"/>
    <s v="Migrado"/>
    <x v="7"/>
  </r>
  <r>
    <d v="2025-08-01T00:00:00"/>
    <n v="8"/>
    <n v="43"/>
    <x v="3"/>
    <x v="13"/>
    <s v="Transporte Trabalho (Jhenis) – valor mensal"/>
    <n v="143"/>
    <x v="0"/>
    <x v="0"/>
    <s v="Migrado"/>
    <x v="7"/>
  </r>
  <r>
    <d v="2025-08-01T00:00:00"/>
    <n v="8"/>
    <n v="44"/>
    <x v="3"/>
    <x v="14"/>
    <s v="Transporte Trabalho (Matheus) – valor mensal"/>
    <n v="240"/>
    <x v="0"/>
    <x v="0"/>
    <s v="Migrado"/>
    <x v="7"/>
  </r>
  <r>
    <d v="2025-08-01T00:00:00"/>
    <n v="8"/>
    <n v="4"/>
    <x v="4"/>
    <x v="15"/>
    <s v="Cartão Jhenismara – valor mensal"/>
    <n v="1400"/>
    <x v="0"/>
    <x v="0"/>
    <s v="Migrado"/>
    <x v="7"/>
  </r>
  <r>
    <d v="2025-08-01T00:00:00"/>
    <n v="8"/>
    <n v="9"/>
    <x v="4"/>
    <x v="16"/>
    <s v="Cartão Matheus – valor mensal"/>
    <n v="175"/>
    <x v="0"/>
    <x v="0"/>
    <s v="Migrado"/>
    <x v="7"/>
  </r>
  <r>
    <d v="2025-09-01T00:00:00"/>
    <n v="9"/>
    <n v="6"/>
    <x v="0"/>
    <x v="0"/>
    <s v="Energia – valor mensal"/>
    <n v="150"/>
    <x v="0"/>
    <x v="0"/>
    <s v="Migrado"/>
    <x v="8"/>
  </r>
  <r>
    <d v="2025-09-01T00:00:00"/>
    <n v="9"/>
    <n v="7"/>
    <x v="0"/>
    <x v="1"/>
    <s v="Água – valor mensal"/>
    <n v="77"/>
    <x v="0"/>
    <x v="0"/>
    <s v="Migrado"/>
    <x v="8"/>
  </r>
  <r>
    <d v="2025-09-01T00:00:00"/>
    <n v="9"/>
    <n v="8"/>
    <x v="0"/>
    <x v="2"/>
    <s v="Gás – valor mensal"/>
    <n v="55"/>
    <x v="0"/>
    <x v="0"/>
    <s v="Migrado"/>
    <x v="8"/>
  </r>
  <r>
    <d v="2025-09-01T00:00:00"/>
    <n v="9"/>
    <n v="11"/>
    <x v="1"/>
    <x v="3"/>
    <s v="Supermercado – valor mensal"/>
    <n v="450"/>
    <x v="0"/>
    <x v="0"/>
    <s v="Migrado"/>
    <x v="8"/>
  </r>
  <r>
    <d v="2025-09-01T00:00:00"/>
    <n v="9"/>
    <n v="12"/>
    <x v="1"/>
    <x v="4"/>
    <s v="Restaurante – valor mensal"/>
    <n v="140"/>
    <x v="0"/>
    <x v="0"/>
    <s v="Migrado"/>
    <x v="8"/>
  </r>
  <r>
    <d v="2025-09-01T00:00:00"/>
    <n v="9"/>
    <n v="13"/>
    <x v="1"/>
    <x v="5"/>
    <s v="Café / Almoço – valor mensal"/>
    <n v="250"/>
    <x v="0"/>
    <x v="0"/>
    <s v="Migrado"/>
    <x v="8"/>
  </r>
  <r>
    <d v="2025-09-01T00:00:00"/>
    <n v="9"/>
    <n v="15"/>
    <x v="2"/>
    <x v="6"/>
    <s v="Celular – valor mensal"/>
    <n v="45"/>
    <x v="0"/>
    <x v="0"/>
    <s v="Migrado"/>
    <x v="8"/>
  </r>
  <r>
    <d v="2025-09-01T00:00:00"/>
    <n v="9"/>
    <n v="16"/>
    <x v="2"/>
    <x v="7"/>
    <s v="Internet – valor mensal"/>
    <n v="89"/>
    <x v="0"/>
    <x v="0"/>
    <s v="Migrado"/>
    <x v="8"/>
  </r>
  <r>
    <d v="2025-09-01T00:00:00"/>
    <n v="9"/>
    <n v="17"/>
    <x v="2"/>
    <x v="8"/>
    <s v="Streaming (outros) – valor mensal"/>
    <n v="24"/>
    <x v="0"/>
    <x v="0"/>
    <s v="Migrado"/>
    <x v="8"/>
  </r>
  <r>
    <d v="2025-09-01T00:00:00"/>
    <n v="9"/>
    <n v="18"/>
    <x v="2"/>
    <x v="9"/>
    <s v="Netflix – valor mensal"/>
    <n v="22"/>
    <x v="0"/>
    <x v="0"/>
    <s v="Migrado"/>
    <x v="8"/>
  </r>
  <r>
    <d v="2025-09-01T00:00:00"/>
    <n v="9"/>
    <n v="19"/>
    <x v="2"/>
    <x v="10"/>
    <s v="Amazon Prime – valor mensal"/>
    <n v="11"/>
    <x v="0"/>
    <x v="0"/>
    <s v="Migrado"/>
    <x v="8"/>
  </r>
  <r>
    <d v="2025-09-01T00:00:00"/>
    <n v="9"/>
    <n v="20"/>
    <x v="2"/>
    <x v="11"/>
    <s v="Max – valor mensal"/>
    <n v="45"/>
    <x v="0"/>
    <x v="0"/>
    <s v="Migrado"/>
    <x v="8"/>
  </r>
  <r>
    <d v="2025-09-01T00:00:00"/>
    <n v="9"/>
    <n v="40"/>
    <x v="3"/>
    <x v="12"/>
    <s v="Aplicativos (Uber / 99) – valor mensal"/>
    <n v="45"/>
    <x v="0"/>
    <x v="0"/>
    <s v="Migrado"/>
    <x v="8"/>
  </r>
  <r>
    <d v="2025-09-01T00:00:00"/>
    <n v="9"/>
    <n v="43"/>
    <x v="3"/>
    <x v="13"/>
    <s v="Transporte Trabalho (Jhenis) – valor mensal"/>
    <n v="143"/>
    <x v="0"/>
    <x v="0"/>
    <s v="Migrado"/>
    <x v="8"/>
  </r>
  <r>
    <d v="2025-09-01T00:00:00"/>
    <n v="9"/>
    <n v="44"/>
    <x v="3"/>
    <x v="14"/>
    <s v="Transporte Trabalho (Matheus) – valor mensal"/>
    <n v="240"/>
    <x v="0"/>
    <x v="0"/>
    <s v="Migrado"/>
    <x v="8"/>
  </r>
  <r>
    <d v="2025-09-01T00:00:00"/>
    <n v="9"/>
    <n v="4"/>
    <x v="4"/>
    <x v="15"/>
    <s v="Cartão Jhenismara – valor mensal"/>
    <n v="1400"/>
    <x v="0"/>
    <x v="0"/>
    <s v="Migrado"/>
    <x v="8"/>
  </r>
  <r>
    <d v="2025-09-01T00:00:00"/>
    <n v="9"/>
    <n v="9"/>
    <x v="4"/>
    <x v="16"/>
    <s v="Cartão Matheus – valor mensal"/>
    <n v="175"/>
    <x v="0"/>
    <x v="0"/>
    <s v="Migrado"/>
    <x v="8"/>
  </r>
  <r>
    <d v="2025-10-01T00:00:00"/>
    <n v="10"/>
    <n v="6"/>
    <x v="0"/>
    <x v="0"/>
    <s v="Energia – valor mensal"/>
    <n v="150"/>
    <x v="0"/>
    <x v="0"/>
    <s v="Migrado"/>
    <x v="9"/>
  </r>
  <r>
    <d v="2025-10-01T00:00:00"/>
    <n v="10"/>
    <n v="7"/>
    <x v="0"/>
    <x v="1"/>
    <s v="Água – valor mensal"/>
    <n v="77"/>
    <x v="0"/>
    <x v="0"/>
    <s v="Migrado"/>
    <x v="9"/>
  </r>
  <r>
    <d v="2025-10-01T00:00:00"/>
    <n v="10"/>
    <n v="8"/>
    <x v="0"/>
    <x v="2"/>
    <s v="Gás – valor mensal"/>
    <n v="55"/>
    <x v="0"/>
    <x v="0"/>
    <s v="Migrado"/>
    <x v="9"/>
  </r>
  <r>
    <d v="2025-10-01T00:00:00"/>
    <n v="10"/>
    <n v="11"/>
    <x v="1"/>
    <x v="3"/>
    <s v="Supermercado – valor mensal"/>
    <n v="450"/>
    <x v="0"/>
    <x v="0"/>
    <s v="Migrado"/>
    <x v="9"/>
  </r>
  <r>
    <d v="2025-10-01T00:00:00"/>
    <n v="10"/>
    <n v="12"/>
    <x v="1"/>
    <x v="4"/>
    <s v="Restaurante – valor mensal"/>
    <n v="140"/>
    <x v="0"/>
    <x v="0"/>
    <s v="Migrado"/>
    <x v="9"/>
  </r>
  <r>
    <d v="2025-10-01T00:00:00"/>
    <n v="10"/>
    <n v="13"/>
    <x v="1"/>
    <x v="5"/>
    <s v="Café / Almoço – valor mensal"/>
    <n v="250"/>
    <x v="0"/>
    <x v="0"/>
    <s v="Migrado"/>
    <x v="9"/>
  </r>
  <r>
    <d v="2025-10-01T00:00:00"/>
    <n v="10"/>
    <n v="15"/>
    <x v="2"/>
    <x v="6"/>
    <s v="Celular – valor mensal"/>
    <n v="45"/>
    <x v="0"/>
    <x v="0"/>
    <s v="Migrado"/>
    <x v="9"/>
  </r>
  <r>
    <d v="2025-10-01T00:00:00"/>
    <n v="10"/>
    <n v="16"/>
    <x v="2"/>
    <x v="7"/>
    <s v="Internet – valor mensal"/>
    <n v="89"/>
    <x v="0"/>
    <x v="0"/>
    <s v="Migrado"/>
    <x v="9"/>
  </r>
  <r>
    <d v="2025-10-01T00:00:00"/>
    <n v="10"/>
    <n v="17"/>
    <x v="2"/>
    <x v="8"/>
    <s v="Streaming (outros) – valor mensal"/>
    <n v="24"/>
    <x v="0"/>
    <x v="0"/>
    <s v="Migrado"/>
    <x v="9"/>
  </r>
  <r>
    <d v="2025-10-01T00:00:00"/>
    <n v="10"/>
    <n v="18"/>
    <x v="2"/>
    <x v="9"/>
    <s v="Netflix – valor mensal"/>
    <n v="22"/>
    <x v="0"/>
    <x v="0"/>
    <s v="Migrado"/>
    <x v="9"/>
  </r>
  <r>
    <d v="2025-10-01T00:00:00"/>
    <n v="10"/>
    <n v="19"/>
    <x v="2"/>
    <x v="10"/>
    <s v="Amazon Prime – valor mensal"/>
    <n v="11"/>
    <x v="0"/>
    <x v="0"/>
    <s v="Migrado"/>
    <x v="9"/>
  </r>
  <r>
    <d v="2025-10-01T00:00:00"/>
    <n v="10"/>
    <n v="20"/>
    <x v="2"/>
    <x v="11"/>
    <s v="Max – valor mensal"/>
    <n v="45"/>
    <x v="0"/>
    <x v="0"/>
    <s v="Migrado"/>
    <x v="9"/>
  </r>
  <r>
    <d v="2025-10-01T00:00:00"/>
    <n v="10"/>
    <n v="40"/>
    <x v="3"/>
    <x v="12"/>
    <s v="Aplicativos (Uber / 99) – valor mensal"/>
    <n v="45"/>
    <x v="0"/>
    <x v="0"/>
    <s v="Migrado"/>
    <x v="9"/>
  </r>
  <r>
    <d v="2025-10-01T00:00:00"/>
    <n v="10"/>
    <n v="43"/>
    <x v="3"/>
    <x v="13"/>
    <s v="Transporte Trabalho (Jhenis) – valor mensal"/>
    <n v="143"/>
    <x v="0"/>
    <x v="0"/>
    <s v="Migrado"/>
    <x v="9"/>
  </r>
  <r>
    <d v="2025-10-01T00:00:00"/>
    <n v="10"/>
    <n v="44"/>
    <x v="3"/>
    <x v="14"/>
    <s v="Transporte Trabalho (Matheus) – valor mensal"/>
    <n v="240"/>
    <x v="0"/>
    <x v="0"/>
    <s v="Migrado"/>
    <x v="9"/>
  </r>
  <r>
    <d v="2025-10-01T00:00:00"/>
    <n v="10"/>
    <n v="4"/>
    <x v="4"/>
    <x v="15"/>
    <s v="Cartão Jhenismara – valor mensal"/>
    <n v="1400"/>
    <x v="0"/>
    <x v="0"/>
    <s v="Migrado"/>
    <x v="9"/>
  </r>
  <r>
    <d v="2025-10-01T00:00:00"/>
    <n v="10"/>
    <n v="9"/>
    <x v="4"/>
    <x v="16"/>
    <s v="Cartão Matheus – valor mensal"/>
    <n v="175"/>
    <x v="0"/>
    <x v="0"/>
    <s v="Migrado"/>
    <x v="9"/>
  </r>
  <r>
    <d v="2025-11-01T00:00:00"/>
    <n v="11"/>
    <n v="6"/>
    <x v="0"/>
    <x v="0"/>
    <s v="Energia – valor mensal"/>
    <n v="150"/>
    <x v="0"/>
    <x v="0"/>
    <s v="Migrado"/>
    <x v="10"/>
  </r>
  <r>
    <d v="2025-11-01T00:00:00"/>
    <n v="11"/>
    <n v="7"/>
    <x v="0"/>
    <x v="1"/>
    <s v="Água – valor mensal"/>
    <n v="77"/>
    <x v="0"/>
    <x v="0"/>
    <s v="Migrado"/>
    <x v="10"/>
  </r>
  <r>
    <d v="2025-11-01T00:00:00"/>
    <n v="11"/>
    <n v="8"/>
    <x v="0"/>
    <x v="2"/>
    <s v="Gás – valor mensal"/>
    <n v="55"/>
    <x v="0"/>
    <x v="0"/>
    <s v="Migrado"/>
    <x v="10"/>
  </r>
  <r>
    <d v="2025-11-01T00:00:00"/>
    <n v="11"/>
    <n v="11"/>
    <x v="1"/>
    <x v="3"/>
    <s v="Supermercado – valor mensal"/>
    <n v="450"/>
    <x v="0"/>
    <x v="0"/>
    <s v="Migrado"/>
    <x v="10"/>
  </r>
  <r>
    <d v="2025-11-01T00:00:00"/>
    <n v="11"/>
    <n v="12"/>
    <x v="1"/>
    <x v="4"/>
    <s v="Restaurante – valor mensal"/>
    <n v="140"/>
    <x v="0"/>
    <x v="0"/>
    <s v="Migrado"/>
    <x v="10"/>
  </r>
  <r>
    <d v="2025-11-01T00:00:00"/>
    <n v="11"/>
    <n v="13"/>
    <x v="1"/>
    <x v="5"/>
    <s v="Café / Almoço – valor mensal"/>
    <n v="250"/>
    <x v="0"/>
    <x v="0"/>
    <s v="Migrado"/>
    <x v="10"/>
  </r>
  <r>
    <d v="2025-11-01T00:00:00"/>
    <n v="11"/>
    <n v="15"/>
    <x v="2"/>
    <x v="6"/>
    <s v="Celular – valor mensal"/>
    <n v="45"/>
    <x v="0"/>
    <x v="0"/>
    <s v="Migrado"/>
    <x v="10"/>
  </r>
  <r>
    <d v="2025-11-01T00:00:00"/>
    <n v="11"/>
    <n v="16"/>
    <x v="2"/>
    <x v="7"/>
    <s v="Internet – valor mensal"/>
    <n v="89"/>
    <x v="0"/>
    <x v="0"/>
    <s v="Migrado"/>
    <x v="10"/>
  </r>
  <r>
    <d v="2025-11-01T00:00:00"/>
    <n v="11"/>
    <n v="17"/>
    <x v="2"/>
    <x v="8"/>
    <s v="Streaming (outros) – valor mensal"/>
    <n v="24"/>
    <x v="0"/>
    <x v="0"/>
    <s v="Migrado"/>
    <x v="10"/>
  </r>
  <r>
    <d v="2025-11-01T00:00:00"/>
    <n v="11"/>
    <n v="18"/>
    <x v="2"/>
    <x v="9"/>
    <s v="Netflix – valor mensal"/>
    <n v="22"/>
    <x v="0"/>
    <x v="0"/>
    <s v="Migrado"/>
    <x v="10"/>
  </r>
  <r>
    <d v="2025-11-01T00:00:00"/>
    <n v="11"/>
    <n v="19"/>
    <x v="2"/>
    <x v="10"/>
    <s v="Amazon Prime – valor mensal"/>
    <n v="11"/>
    <x v="0"/>
    <x v="0"/>
    <s v="Migrado"/>
    <x v="10"/>
  </r>
  <r>
    <d v="2025-11-01T00:00:00"/>
    <n v="11"/>
    <n v="20"/>
    <x v="2"/>
    <x v="11"/>
    <s v="Max – valor mensal"/>
    <n v="45"/>
    <x v="0"/>
    <x v="0"/>
    <s v="Migrado"/>
    <x v="10"/>
  </r>
  <r>
    <d v="2025-11-01T00:00:00"/>
    <n v="11"/>
    <n v="40"/>
    <x v="3"/>
    <x v="12"/>
    <s v="Aplicativos (Uber / 99) – valor mensal"/>
    <n v="45"/>
    <x v="0"/>
    <x v="0"/>
    <s v="Migrado"/>
    <x v="10"/>
  </r>
  <r>
    <d v="2025-11-01T00:00:00"/>
    <n v="11"/>
    <n v="43"/>
    <x v="3"/>
    <x v="13"/>
    <s v="Transporte Trabalho (Jhenis) – valor mensal"/>
    <n v="143"/>
    <x v="0"/>
    <x v="0"/>
    <s v="Migrado"/>
    <x v="10"/>
  </r>
  <r>
    <d v="2025-11-01T00:00:00"/>
    <n v="11"/>
    <n v="44"/>
    <x v="3"/>
    <x v="14"/>
    <s v="Transporte Trabalho (Matheus) – valor mensal"/>
    <n v="240"/>
    <x v="0"/>
    <x v="0"/>
    <s v="Migrado"/>
    <x v="10"/>
  </r>
  <r>
    <d v="2025-11-01T00:00:00"/>
    <n v="11"/>
    <n v="4"/>
    <x v="4"/>
    <x v="15"/>
    <s v="Cartão Jhenismara – valor mensal"/>
    <n v="1400"/>
    <x v="0"/>
    <x v="0"/>
    <s v="Migrado"/>
    <x v="10"/>
  </r>
  <r>
    <d v="2025-11-01T00:00:00"/>
    <n v="11"/>
    <n v="9"/>
    <x v="4"/>
    <x v="16"/>
    <s v="Cartão Matheus – valor mensal"/>
    <n v="175"/>
    <x v="0"/>
    <x v="0"/>
    <s v="Migrado"/>
    <x v="10"/>
  </r>
  <r>
    <d v="2025-12-01T00:00:00"/>
    <n v="12"/>
    <n v="6"/>
    <x v="0"/>
    <x v="0"/>
    <s v="Energia – valor mensal"/>
    <n v="150"/>
    <x v="0"/>
    <x v="0"/>
    <s v="Migrado"/>
    <x v="11"/>
  </r>
  <r>
    <d v="2025-12-01T00:00:00"/>
    <n v="12"/>
    <n v="7"/>
    <x v="0"/>
    <x v="1"/>
    <s v="Água – valor mensal"/>
    <n v="77"/>
    <x v="0"/>
    <x v="0"/>
    <s v="Migrado"/>
    <x v="11"/>
  </r>
  <r>
    <d v="2025-12-01T00:00:00"/>
    <n v="12"/>
    <n v="8"/>
    <x v="0"/>
    <x v="2"/>
    <s v="Gás – valor mensal"/>
    <n v="55"/>
    <x v="0"/>
    <x v="0"/>
    <s v="Migrado"/>
    <x v="11"/>
  </r>
  <r>
    <d v="2025-12-01T00:00:00"/>
    <n v="12"/>
    <n v="11"/>
    <x v="1"/>
    <x v="3"/>
    <s v="Supermercado – valor mensal"/>
    <n v="450"/>
    <x v="0"/>
    <x v="0"/>
    <s v="Migrado"/>
    <x v="11"/>
  </r>
  <r>
    <d v="2025-12-01T00:00:00"/>
    <n v="12"/>
    <n v="12"/>
    <x v="1"/>
    <x v="4"/>
    <s v="Restaurante – valor mensal"/>
    <n v="140"/>
    <x v="0"/>
    <x v="0"/>
    <s v="Migrado"/>
    <x v="11"/>
  </r>
  <r>
    <d v="2025-12-01T00:00:00"/>
    <n v="12"/>
    <n v="13"/>
    <x v="1"/>
    <x v="5"/>
    <s v="Café / Almoço – valor mensal"/>
    <n v="250"/>
    <x v="0"/>
    <x v="0"/>
    <s v="Migrado"/>
    <x v="11"/>
  </r>
  <r>
    <d v="2025-12-01T00:00:00"/>
    <n v="12"/>
    <n v="15"/>
    <x v="2"/>
    <x v="6"/>
    <s v="Celular – valor mensal"/>
    <n v="45"/>
    <x v="0"/>
    <x v="0"/>
    <s v="Migrado"/>
    <x v="11"/>
  </r>
  <r>
    <d v="2025-12-01T00:00:00"/>
    <n v="12"/>
    <n v="16"/>
    <x v="2"/>
    <x v="7"/>
    <s v="Internet – valor mensal"/>
    <n v="89"/>
    <x v="0"/>
    <x v="0"/>
    <s v="Migrado"/>
    <x v="11"/>
  </r>
  <r>
    <d v="2025-12-01T00:00:00"/>
    <n v="12"/>
    <n v="17"/>
    <x v="2"/>
    <x v="8"/>
    <s v="Streaming (outros) – valor mensal"/>
    <n v="24"/>
    <x v="0"/>
    <x v="0"/>
    <s v="Migrado"/>
    <x v="11"/>
  </r>
  <r>
    <d v="2025-12-01T00:00:00"/>
    <n v="12"/>
    <n v="18"/>
    <x v="2"/>
    <x v="9"/>
    <s v="Netflix – valor mensal"/>
    <n v="22"/>
    <x v="0"/>
    <x v="0"/>
    <s v="Migrado"/>
    <x v="11"/>
  </r>
  <r>
    <d v="2025-12-01T00:00:00"/>
    <n v="12"/>
    <n v="19"/>
    <x v="2"/>
    <x v="10"/>
    <s v="Amazon Prime – valor mensal"/>
    <n v="11"/>
    <x v="0"/>
    <x v="0"/>
    <s v="Migrado"/>
    <x v="11"/>
  </r>
  <r>
    <d v="2025-12-01T00:00:00"/>
    <n v="12"/>
    <n v="20"/>
    <x v="2"/>
    <x v="11"/>
    <s v="Max – valor mensal"/>
    <n v="45"/>
    <x v="0"/>
    <x v="0"/>
    <s v="Migrado"/>
    <x v="11"/>
  </r>
  <r>
    <d v="2025-12-01T00:00:00"/>
    <n v="12"/>
    <n v="40"/>
    <x v="3"/>
    <x v="12"/>
    <s v="Aplicativos (Uber / 99) – valor mensal"/>
    <n v="45"/>
    <x v="0"/>
    <x v="0"/>
    <s v="Migrado"/>
    <x v="11"/>
  </r>
  <r>
    <d v="2025-12-01T00:00:00"/>
    <n v="12"/>
    <n v="43"/>
    <x v="3"/>
    <x v="13"/>
    <s v="Transporte Trabalho (Jhenis) – valor mensal"/>
    <n v="143"/>
    <x v="0"/>
    <x v="0"/>
    <s v="Migrado"/>
    <x v="11"/>
  </r>
  <r>
    <d v="2025-12-01T00:00:00"/>
    <n v="12"/>
    <n v="44"/>
    <x v="3"/>
    <x v="14"/>
    <s v="Transporte Trabalho (Matheus) – valor mensal"/>
    <n v="240"/>
    <x v="0"/>
    <x v="0"/>
    <s v="Migrado"/>
    <x v="11"/>
  </r>
  <r>
    <d v="2025-12-01T00:00:00"/>
    <n v="12"/>
    <n v="4"/>
    <x v="4"/>
    <x v="15"/>
    <s v="Cartão Jhenismara – valor mensal"/>
    <n v="1400"/>
    <x v="0"/>
    <x v="0"/>
    <s v="Migrado"/>
    <x v="11"/>
  </r>
  <r>
    <d v="2025-12-01T00:00:00"/>
    <n v="12"/>
    <n v="9"/>
    <x v="4"/>
    <x v="16"/>
    <s v="Cartão Matheus – valor mensal"/>
    <n v="175"/>
    <x v="0"/>
    <x v="0"/>
    <s v="Migrado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E814B4-9A76-4FD7-80C4-890AA9BAD733}" name="ptAux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4:L7" firstHeaderRow="1" firstDataRow="2" firstDataCol="1"/>
  <pivotFields count="11">
    <pivotField numFmtId="14" showAll="0"/>
    <pivotField showAll="0"/>
    <pivotField showAll="0"/>
    <pivotField showAll="0">
      <items count="6">
        <item x="1"/>
        <item x="4"/>
        <item x="2"/>
        <item x="0"/>
        <item x="3"/>
        <item t="default"/>
      </items>
    </pivotField>
    <pivotField showAll="0"/>
    <pivotField showAll="0"/>
    <pivotField dataField="1" numFmtId="164" showAll="0"/>
    <pivotField axis="axisRow" showAll="0">
      <items count="2">
        <item n="Não informado" x="0"/>
        <item t="default"/>
      </items>
    </pivotField>
    <pivotField axis="axisCol" showAll="0">
      <items count="2">
        <item n="Não informado" x="0"/>
        <item t="default"/>
      </items>
    </pivotField>
    <pivotField showAll="0"/>
    <pivotField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</pivotFields>
  <rowFields count="1">
    <field x="7"/>
  </rowFields>
  <rowItems count="2">
    <i>
      <x/>
    </i>
    <i t="grand">
      <x/>
    </i>
  </rowItems>
  <colFields count="1">
    <field x="8"/>
  </colFields>
  <colItems count="2">
    <i>
      <x/>
    </i>
    <i t="grand">
      <x/>
    </i>
  </colItems>
  <dataFields count="1">
    <dataField name="Total" fld="6" baseField="0" baseItem="0" numFmtId="166"/>
  </dataFields>
  <formats count="1">
    <format dxfId="1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C99A9-DB1D-4EA1-B5F2-C281DF5839CE}" name="ptSub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G4:H15" firstHeaderRow="1" firstDataRow="1" firstDataCol="1"/>
  <pivotFields count="11">
    <pivotField numFmtId="14" showAll="0"/>
    <pivotField showAll="0"/>
    <pivotField showAll="0"/>
    <pivotField showAll="0">
      <items count="6">
        <item x="1"/>
        <item x="4"/>
        <item x="2"/>
        <item x="0"/>
        <item x="3"/>
        <item t="default"/>
      </items>
    </pivotField>
    <pivotField axis="axisRow" showAll="0" measureFilter="1" sortType="descending">
      <items count="18">
        <item x="1"/>
        <item x="10"/>
        <item x="12"/>
        <item x="5"/>
        <item x="15"/>
        <item x="16"/>
        <item x="6"/>
        <item x="0"/>
        <item x="2"/>
        <item x="7"/>
        <item x="11"/>
        <item x="9"/>
        <item x="4"/>
        <item x="8"/>
        <item x="3"/>
        <item x="1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</pivotFields>
  <rowFields count="1">
    <field x="4"/>
  </rowFields>
  <rowItems count="11">
    <i>
      <x v="4"/>
    </i>
    <i>
      <x v="14"/>
    </i>
    <i>
      <x v="3"/>
    </i>
    <i>
      <x v="16"/>
    </i>
    <i>
      <x v="5"/>
    </i>
    <i>
      <x v="7"/>
    </i>
    <i>
      <x v="15"/>
    </i>
    <i>
      <x v="12"/>
    </i>
    <i>
      <x v="9"/>
    </i>
    <i>
      <x/>
    </i>
    <i t="grand">
      <x/>
    </i>
  </rowItems>
  <colItems count="1">
    <i/>
  </colItems>
  <dataFields count="1">
    <dataField name="Gasto" fld="6" baseField="0" baseItem="0" numFmtId="166"/>
  </dataFields>
  <formats count="1">
    <format dxfId="119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F3363-DCED-4C3D-A2C8-4C6329DF7716}" name="ptGrupo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4:E10" firstHeaderRow="1" firstDataRow="1" firstDataCol="1"/>
  <pivotFields count="11">
    <pivotField numFmtId="14" showAll="0"/>
    <pivotField showAll="0"/>
    <pivotField showAll="0"/>
    <pivotField axis="axisRow" showAll="0">
      <items count="6">
        <item x="1"/>
        <item x="4"/>
        <item x="2"/>
        <item x="0"/>
        <item x="3"/>
        <item t="default"/>
      </items>
    </pivotField>
    <pivotField showAll="0"/>
    <pivotField showAll="0"/>
    <pivotField dataField="1" numFmtId="164"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Gasto por grupo" fld="6" baseField="0" baseItem="0" numFmtId="166"/>
  </dataFields>
  <formats count="1">
    <format dxfId="1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386B95-CF86-417C-BFBB-D9106626DFE6}" name="ptMes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B6" firstHeaderRow="1" firstDataRow="1" firstDataCol="1"/>
  <pivotFields count="11">
    <pivotField numFmtId="14" showAll="0"/>
    <pivotField showAll="0"/>
    <pivotField showAll="0"/>
    <pivotField showAll="0">
      <items count="6">
        <item x="1"/>
        <item x="4"/>
        <item x="2"/>
        <item x="0"/>
        <item x="3"/>
        <item t="default"/>
      </items>
    </pivotField>
    <pivotField showAll="0"/>
    <pivotField showAll="0"/>
    <pivotField dataField="1" numFmtId="164"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axis="axisRow"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</pivotFields>
  <rowFields count="1">
    <field x="10"/>
  </rowFields>
  <rowItems count="2">
    <i>
      <x/>
    </i>
    <i t="grand">
      <x/>
    </i>
  </rowItems>
  <colItems count="1">
    <i/>
  </colItems>
  <dataFields count="1">
    <dataField name="Gasto no mês" fld="6" baseField="0" baseItem="0" numFmtId="166"/>
  </dataFields>
  <formats count="1">
    <format dxfId="1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35FDAA-91F2-43C7-82C2-074E906601E0}" name="ptRespPag" cacheId="8" applyNumberFormats="0" applyBorderFormats="0" applyFontFormats="0" applyPatternFormats="0" applyAlignmentFormats="0" applyWidthHeightFormats="1" dataCaption="Valores" errorCaption="-" showError="1" updatedVersion="8" minRefreshableVersion="3" useAutoFormatting="1" itemPrintTitles="1" createdVersion="8" indent="0" outline="1" outlineData="1" multipleFieldFilters="0" rowHeaderCaption="Responsável" colHeaderCaption="Pagamento">
  <location ref="Q24:S27" firstHeaderRow="1" firstDataRow="2" firstDataCol="1"/>
  <pivotFields count="11">
    <pivotField numFmtId="14" showAll="0"/>
    <pivotField showAll="0"/>
    <pivotField showAll="0"/>
    <pivotField showAll="0">
      <items count="6">
        <item x="1"/>
        <item x="4"/>
        <item x="2"/>
        <item x="0"/>
        <item x="3"/>
        <item t="default"/>
      </items>
    </pivotField>
    <pivotField showAll="0"/>
    <pivotField showAll="0"/>
    <pivotField dataField="1" numFmtId="164" showAll="0"/>
    <pivotField axis="axisCol" showAll="0">
      <items count="2">
        <item n="Não informado" x="0"/>
        <item t="default"/>
      </items>
    </pivotField>
    <pivotField axis="axisRow" showAll="0">
      <items count="2">
        <item n="Não informado" x="0"/>
        <item t="default"/>
      </items>
    </pivotField>
    <pivotField showAll="0"/>
    <pivotField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</pivotFields>
  <rowFields count="1">
    <field x="8"/>
  </rowFields>
  <rowItems count="2">
    <i>
      <x/>
    </i>
    <i t="grand">
      <x/>
    </i>
  </rowItems>
  <colFields count="1">
    <field x="7"/>
  </colFields>
  <colItems count="2">
    <i>
      <x/>
    </i>
    <i t="grand">
      <x/>
    </i>
  </colItems>
  <dataFields count="1">
    <dataField name="Total   " fld="6" baseField="0" baseItem="0" numFmtId="166"/>
  </dataFields>
  <formats count="21">
    <format dxfId="84">
      <pivotArea outline="0" collapsedLevelsAreSubtotals="1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type="origin" dataOnly="0" labelOnly="1" outline="0" fieldPosition="0"/>
    </format>
    <format dxfId="80">
      <pivotArea field="7" type="button" dataOnly="0" labelOnly="1" outline="0" axis="axisCol" fieldPosition="0"/>
    </format>
    <format dxfId="79">
      <pivotArea type="topRight" dataOnly="0" labelOnly="1" outline="0" fieldPosition="0"/>
    </format>
    <format dxfId="78">
      <pivotArea field="8" type="button" dataOnly="0" labelOnly="1" outline="0" axis="axisRow" fieldPosition="0"/>
    </format>
    <format dxfId="77">
      <pivotArea dataOnly="0" labelOnly="1" fieldPosition="0">
        <references count="1">
          <reference field="8" count="0"/>
        </references>
      </pivotArea>
    </format>
    <format dxfId="76">
      <pivotArea dataOnly="0" labelOnly="1" grandRow="1" outline="0" fieldPosition="0"/>
    </format>
    <format dxfId="75">
      <pivotArea dataOnly="0" labelOnly="1" fieldPosition="0">
        <references count="1">
          <reference field="7" count="0"/>
        </references>
      </pivotArea>
    </format>
    <format dxfId="74">
      <pivotArea dataOnly="0" labelOnly="1" grandCol="1" outline="0" fieldPosition="0"/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type="origin" dataOnly="0" labelOnly="1" outline="0" fieldPosition="0"/>
    </format>
    <format dxfId="70">
      <pivotArea field="7" type="button" dataOnly="0" labelOnly="1" outline="0" axis="axisCol" fieldPosition="0"/>
    </format>
    <format dxfId="69">
      <pivotArea type="topRight" dataOnly="0" labelOnly="1" outline="0" fieldPosition="0"/>
    </format>
    <format dxfId="68">
      <pivotArea field="8" type="button" dataOnly="0" labelOnly="1" outline="0" axis="axisRow" fieldPosition="0"/>
    </format>
    <format dxfId="67">
      <pivotArea dataOnly="0" labelOnly="1" fieldPosition="0">
        <references count="1">
          <reference field="8" count="0"/>
        </references>
      </pivotArea>
    </format>
    <format dxfId="66">
      <pivotArea dataOnly="0" labelOnly="1" grandRow="1" outline="0" fieldPosition="0"/>
    </format>
    <format dxfId="65">
      <pivotArea dataOnly="0" labelOnly="1" fieldPosition="0">
        <references count="1">
          <reference field="7" count="0"/>
        </references>
      </pivotArea>
    </format>
    <format dxfId="64">
      <pivotArea dataOnly="0" labelOnly="1" grandCol="1" outline="0" fieldPosition="0"/>
    </format>
  </formats>
  <pivotTableStyleInfo name="CO Tabela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BEFDB-B69D-4C5E-BFBA-007DD64B39DA}" name="ptParticipacao" cacheId="8" applyNumberFormats="0" applyBorderFormats="0" applyFontFormats="0" applyPatternFormats="0" applyAlignmentFormats="0" applyWidthHeightFormats="1" dataCaption="Valores" errorCaption="-" showError="1" updatedVersion="8" minRefreshableVersion="3" useAutoFormatting="1" itemPrintTitles="1" createdVersion="8" indent="0" outline="1" outlineData="1" multipleFieldFilters="0" rowHeaderCaption="Grupo">
  <location ref="Q6:U12" firstHeaderRow="0" firstDataRow="1" firstDataCol="1"/>
  <pivotFields count="11">
    <pivotField numFmtId="14" showAll="0"/>
    <pivotField showAll="0"/>
    <pivotField showAll="0"/>
    <pivotField axis="axisRow" showAll="0" sortType="descending">
      <items count="6">
        <item x="1"/>
        <item x="4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4"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</pivotFields>
  <rowFields count="1">
    <field x="3"/>
  </rowFields>
  <rowItems count="6">
    <i>
      <x v="1"/>
    </i>
    <i>
      <x/>
    </i>
    <i>
      <x v="4"/>
    </i>
    <i>
      <x v="3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 " fld="6" baseField="0" baseItem="0" numFmtId="166"/>
    <dataField name="% do total" fld="6" showDataAs="percentOfTotal" baseField="0" baseItem="0" numFmtId="168"/>
    <dataField name="Lançamentos" fld="6" subtotal="count" baseField="0" baseItem="0" numFmtId="1"/>
    <dataField name="Ticket médio" fld="6" subtotal="average" baseField="0" baseItem="0" numFmtId="166"/>
  </dataFields>
  <formats count="12">
    <format dxfId="96">
      <pivotArea type="all" dataOnly="0" outline="0" fieldPosition="0"/>
    </format>
    <format dxfId="95">
      <pivotArea outline="0" collapsedLevelsAreSubtotals="1" fieldPosition="0"/>
    </format>
    <format dxfId="94">
      <pivotArea field="3" type="button" dataOnly="0" labelOnly="1" outline="0" axis="axisRow" fieldPosition="0"/>
    </format>
    <format dxfId="93">
      <pivotArea dataOnly="0" labelOnly="1" fieldPosition="0">
        <references count="1">
          <reference field="3" count="0"/>
        </references>
      </pivotArea>
    </format>
    <format dxfId="92">
      <pivotArea dataOnly="0" labelOnly="1" grandRow="1" outline="0" fieldPosition="0"/>
    </format>
    <format dxfId="9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3" type="button" dataOnly="0" labelOnly="1" outline="0" axis="axisRow" fieldPosition="0"/>
    </format>
    <format dxfId="87">
      <pivotArea dataOnly="0" labelOnly="1" fieldPosition="0">
        <references count="1">
          <reference field="3" count="0"/>
        </references>
      </pivotArea>
    </format>
    <format dxfId="86">
      <pivotArea dataOnly="0" labelOnly="1" grandRow="1" outline="0" fieldPosition="0"/>
    </format>
    <format dxfId="8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onditionalFormats count="1">
    <conditionalFormat scope="data" priority="2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CO Tabela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71E1B-C5FF-4996-ACC4-63163CCB85F0}" name="ptMatriz" cacheId="8" applyNumberFormats="0" applyBorderFormats="0" applyFontFormats="0" applyPatternFormats="0" applyAlignmentFormats="0" applyWidthHeightFormats="1" dataCaption="Valores" errorCaption="-" showError="1" updatedVersion="8" minRefreshableVersion="3" itemPrintTitles="1" createdVersion="8" indent="0" outline="1" outlineData="1" multipleFieldFilters="0" rowHeaderCaption="Grupo / Subcategoria" colHeaderCaption="Mês">
  <location ref="B6:D13" firstHeaderRow="1" firstDataRow="2" firstDataCol="1"/>
  <pivotFields count="11">
    <pivotField numFmtId="14" showAll="0"/>
    <pivotField showAll="0"/>
    <pivotField showAll="0"/>
    <pivotField axis="axisRow" showAll="0">
      <items count="6">
        <item sd="0" x="1"/>
        <item sd="0" x="4"/>
        <item sd="0" x="2"/>
        <item sd="0" x="0"/>
        <item sd="0" x="3"/>
        <item t="default" sd="0"/>
      </items>
    </pivotField>
    <pivotField axis="axisRow" showAll="0">
      <items count="18">
        <item x="1"/>
        <item x="10"/>
        <item x="12"/>
        <item x="5"/>
        <item x="15"/>
        <item x="16"/>
        <item x="6"/>
        <item x="0"/>
        <item x="2"/>
        <item x="7"/>
        <item x="11"/>
        <item x="9"/>
        <item x="4"/>
        <item x="8"/>
        <item x="3"/>
        <item x="13"/>
        <item x="14"/>
        <item t="default"/>
      </items>
    </pivotField>
    <pivotField showAll="0"/>
    <pivotField dataField="1" numFmtId="164"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axis="axisCol"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</pivotFields>
  <rowFields count="2">
    <field x="3"/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2">
    <i>
      <x/>
    </i>
    <i t="grand">
      <x/>
    </i>
  </colItems>
  <dataFields count="1">
    <dataField name="Total " fld="6" baseField="0" baseItem="0" numFmtId="167"/>
  </dataFields>
  <formats count="21">
    <format dxfId="117">
      <pivotArea outline="0" collapsedLevelsAreSubtotals="1" fieldPosition="0"/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type="origin" dataOnly="0" labelOnly="1" outline="0" fieldPosition="0"/>
    </format>
    <format dxfId="113">
      <pivotArea field="10" type="button" dataOnly="0" labelOnly="1" outline="0" axis="axisCol" fieldPosition="0"/>
    </format>
    <format dxfId="112">
      <pivotArea type="topRight" dataOnly="0" labelOnly="1" outline="0" fieldPosition="0"/>
    </format>
    <format dxfId="111">
      <pivotArea field="3" type="button" dataOnly="0" labelOnly="1" outline="0" axis="axisRow" fieldPosition="0"/>
    </format>
    <format dxfId="110">
      <pivotArea dataOnly="0" labelOnly="1" fieldPosition="0">
        <references count="1">
          <reference field="3" count="0"/>
        </references>
      </pivotArea>
    </format>
    <format dxfId="109">
      <pivotArea dataOnly="0" labelOnly="1" grandRow="1" outline="0" fieldPosition="0"/>
    </format>
    <format dxfId="108">
      <pivotArea dataOnly="0" labelOnly="1" fieldPosition="0">
        <references count="1">
          <reference field="10" count="0"/>
        </references>
      </pivotArea>
    </format>
    <format dxfId="107">
      <pivotArea dataOnly="0" labelOnly="1" grandCol="1" outline="0" fieldPosition="0"/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type="origin" dataOnly="0" labelOnly="1" outline="0" fieldPosition="0"/>
    </format>
    <format dxfId="103">
      <pivotArea field="10" type="button" dataOnly="0" labelOnly="1" outline="0" axis="axisCol" fieldPosition="0"/>
    </format>
    <format dxfId="102">
      <pivotArea type="topRight" dataOnly="0" labelOnly="1" outline="0" fieldPosition="0"/>
    </format>
    <format dxfId="101">
      <pivotArea field="3" type="button" dataOnly="0" labelOnly="1" outline="0" axis="axisRow" fieldPosition="0"/>
    </format>
    <format dxfId="100">
      <pivotArea dataOnly="0" labelOnly="1" fieldPosition="0">
        <references count="1">
          <reference field="3" count="0"/>
        </references>
      </pivotArea>
    </format>
    <format dxfId="99">
      <pivotArea dataOnly="0" labelOnly="1" grandRow="1" outline="0" fieldPosition="0"/>
    </format>
    <format dxfId="98">
      <pivotArea dataOnly="0" labelOnly="1" fieldPosition="0">
        <references count="1">
          <reference field="10" count="0"/>
        </references>
      </pivotArea>
    </format>
    <format dxfId="97">
      <pivotArea dataOnly="0" labelOnly="1" grandCol="1" outline="0" fieldPosition="0"/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CO Tabela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Ref" xr10:uid="{7650C039-BBF7-470C-B619-E31A04520468}" sourceName="Mês Ref">
  <pivotTables>
    <pivotTable tabId="41" name="ptMes"/>
    <pivotTable tabId="41" name="ptAux"/>
    <pivotTable tabId="41" name="ptSub"/>
    <pivotTable tabId="41" name="ptGrupo"/>
    <pivotTable tabId="43" name="ptRespPag"/>
    <pivotTable tabId="43" name="ptParticipacao"/>
    <pivotTable tabId="43" name="ptMatriz"/>
  </pivotTables>
  <data>
    <tabular pivotCacheId="586307870">
      <items count="12">
        <i x="0" s="1"/>
        <i x="1"/>
        <i x="2"/>
        <i x="3"/>
        <i x="4"/>
        <i x="5"/>
        <i x="6"/>
        <i x="7"/>
        <i x="8"/>
        <i x="9"/>
        <i x="10"/>
        <i x="1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rupo" xr10:uid="{7D902C05-AA2F-4007-82B0-CCB702BB2BCC}" sourceName="Grupo">
  <pivotTables>
    <pivotTable tabId="41" name="ptMes"/>
    <pivotTable tabId="41" name="ptAux"/>
    <pivotTable tabId="41" name="ptSub"/>
    <pivotTable tabId="41" name="ptGrupo"/>
    <pivotTable tabId="43" name="ptRespPag"/>
    <pivotTable tabId="43" name="ptParticipacao"/>
    <pivotTable tabId="43" name="ptMatriz"/>
  </pivotTables>
  <data>
    <tabular pivotCacheId="586307870">
      <items count="5">
        <i x="1" s="1"/>
        <i x="4" s="1"/>
        <i x="2" s="1"/>
        <i x="0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sponsável" xr10:uid="{13B6FA2E-5850-4173-B14C-EF4C59076CCF}" sourceName="Responsável">
  <pivotTables>
    <pivotTable tabId="41" name="ptMes"/>
    <pivotTable tabId="41" name="ptAux"/>
    <pivotTable tabId="41" name="ptSub"/>
    <pivotTable tabId="41" name="ptGrupo"/>
    <pivotTable tabId="43" name="ptRespPag"/>
    <pivotTable tabId="43" name="ptParticipacao"/>
    <pivotTable tabId="43" name="ptMatriz"/>
  </pivotTables>
  <data>
    <tabular pivotCacheId="586307870">
      <items count="1"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gamento" xr10:uid="{453B20B2-B073-4B3C-81CE-ACEFE9833332}" sourceName="Pagamento">
  <pivotTables>
    <pivotTable tabId="41" name="ptMes"/>
    <pivotTable tabId="41" name="ptAux"/>
    <pivotTable tabId="41" name="ptSub"/>
    <pivotTable tabId="41" name="ptGrupo"/>
    <pivotTable tabId="43" name="ptRespPag"/>
    <pivotTable tabId="43" name="ptParticipacao"/>
    <pivotTable tabId="43" name="ptMatriz"/>
  </pivotTables>
  <data>
    <tabular pivotCacheId="586307870">
      <items count="1"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lPainel0" xr10:uid="{403087B0-D6CC-477F-B662-59F2BA893BF0}" cache="SegmentaçãodeDados_Mês_Ref" caption="Mês" columnCount="2" style="CO Filtro" lockedPosition="1" rowHeight="228600"/>
  <slicer name="slPainel1" xr10:uid="{11699E47-B466-4220-8334-14B5D45B53EF}" cache="SegmentaçãodeDados_Grupo" caption="Grupo" style="CO Filtro" lockedPosition="1" rowHeight="228600"/>
  <slicer name="slPainel2" xr10:uid="{942B03A3-6E4F-4468-A8D8-7F93109B60BB}" cache="SegmentaçãodeDados_Responsável" caption="Responsável" style="CO Filtro" lockedPosition="1" rowHeight="228600"/>
  <slicer name="slPainel3" xr10:uid="{E902C23B-70B3-409E-A63D-34C7931EE800}" cache="SegmentaçãodeDados_Pagamento" caption="Pagamento" style="CO Filtro" lockedPosition="1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A93464-BFEF-48CA-AB47-4B6742899F4E}" name="tbContas" displayName="tbContas" ref="B11:J12" totalsRowShown="0" headerRowDxfId="60" dataDxfId="59">
  <autoFilter ref="B11:J12" xr:uid="{82A93464-BFEF-48CA-AB47-4B6742899F4E}"/>
  <tableColumns count="9">
    <tableColumn id="1" xr3:uid="{41F2B67E-3FE6-47F6-832C-DC98858F57FD}" name="Vencimento" dataDxfId="58"/>
    <tableColumn id="2" xr3:uid="{ACB4CC9B-002C-4464-AF41-176BFC1FD38A}" name="Descrição" dataDxfId="57"/>
    <tableColumn id="3" xr3:uid="{8A732ECB-5FF8-459F-9CD8-09879567A480}" name="Código" dataDxfId="56"/>
    <tableColumn id="4" xr3:uid="{C061B4AD-B9F6-461B-B587-474E832B0E22}" name="Categoria" dataDxfId="55">
      <calculatedColumnFormula>IF(tbContas[[#This Row],[Código]]="","",IFERROR(INDEX(tbCategorias[Subcategoria],MATCH(tbContas[[#This Row],[Código]],tbCategorias[Código],0)),"CÓDIGO INVÁLIDO"))</calculatedColumnFormula>
    </tableColumn>
    <tableColumn id="5" xr3:uid="{6883A10E-E63F-4E07-9B03-FB79D70CB71C}" name="Valor" dataDxfId="54"/>
    <tableColumn id="6" xr3:uid="{9B7127F5-867A-4D79-85E9-D4CD12777E7D}" name="Recorrência" dataDxfId="53"/>
    <tableColumn id="7" xr3:uid="{94F81DED-D984-4E1E-A6B8-051A009A6384}" name="Status" dataDxfId="52"/>
    <tableColumn id="8" xr3:uid="{C238B6CD-A9C2-4D7A-8F5F-0950CCF496F3}" name="Pago em" dataDxfId="51"/>
    <tableColumn id="9" xr3:uid="{5B62F658-989E-457F-B2C8-B5F0AE56B1BA}" name="Situação" dataDxfId="50">
      <calculatedColumnFormula>IF(tbContas[[#This Row],[Descrição]]="","",IF(tbContas[[#This Row],[Status]]="Paga","Paga",IF(tbContas[[#This Row],[Vencimento]]&lt;TODAY(),"Vencida",IF(tbContas[[#This Row],[Vencimento]]-TODAY()&lt;=7,"Vence em 7 dias","A vencer"))))</calculatedColumnFormula>
    </tableColumn>
  </tableColumns>
  <tableStyleInfo name="CO Tabela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1E3FD7-DA3F-4A4A-A76C-F638325FC850}" name="tbMetas" displayName="tbMetas" ref="B11:J17" totalsRowShown="0" headerRowDxfId="47" dataDxfId="46">
  <autoFilter ref="B11:J17" xr:uid="{CE1E3FD7-DA3F-4A4A-A76C-F638325FC850}"/>
  <tableColumns count="9">
    <tableColumn id="1" xr3:uid="{537E66B6-1142-40DB-938F-C8D882AF8FEF}" name="Meta" dataDxfId="45"/>
    <tableColumn id="2" xr3:uid="{F887D25E-0FCC-4404-8EA3-2708048D709A}" name="Código" dataDxfId="44"/>
    <tableColumn id="3" xr3:uid="{EF33CBE3-BB0F-4DDE-9368-A2E92EF31035}" name="Alvo" dataDxfId="43"/>
    <tableColumn id="4" xr3:uid="{3BCC38B9-B1C8-42AB-A920-07FD75A27436}" name="Prazo" dataDxfId="42"/>
    <tableColumn id="5" xr3:uid="{7DCCC1F5-3DF8-4268-B355-BDCD602C7825}" name="Acumulado" dataDxfId="41">
      <calculatedColumnFormula>IF(tbMetas[[#This Row],[Código]]="",0,SUMIFS(tbLancamentos[Valor],tbLancamentos[Código],tbMetas[[#This Row],[Código]]))</calculatedColumnFormula>
    </tableColumn>
    <tableColumn id="6" xr3:uid="{19DB612B-702A-4D7A-B79D-E4C479CC7C06}" name="% concluído" dataDxfId="40">
      <calculatedColumnFormula>IFERROR(MIN(1,tbMetas[[#This Row],[Acumulado]]/tbMetas[[#This Row],[Alvo]]),0)</calculatedColumnFormula>
    </tableColumn>
    <tableColumn id="7" xr3:uid="{3850324F-DB0C-48FA-A300-6E69C2D02B1F}" name="Falta" dataDxfId="39">
      <calculatedColumnFormula>MAX(0,N(tbMetas[[#This Row],[Alvo]])-tbMetas[[#This Row],[Acumulado]])</calculatedColumnFormula>
    </tableColumn>
    <tableColumn id="8" xr3:uid="{6AED40D0-528B-40FF-88CF-549507EA9D01}" name="Aporte mensal" dataDxfId="38">
      <calculatedColumnFormula>IF(tbMetas[[#This Row],[Meta]]="",0,IF(tbMetas[[#This Row],[Prazo]]&lt;=TODAY(),tbMetas[[#This Row],[Falta]],tbMetas[[#This Row],[Falta]]/(DATEDIF(TODAY(),tbMetas[[#This Row],[Prazo]],"m")+1)))</calculatedColumnFormula>
    </tableColumn>
    <tableColumn id="9" xr3:uid="{9A151067-60A5-4467-A88A-490D3D038E81}" name="Situação" dataDxfId="37">
      <calculatedColumnFormula>IF(tbMetas[[#This Row],[Meta]]="","",IF(tbMetas[[#This Row],[Acumulado]]&gt;=tbMetas[[#This Row],[Alvo]],"Concluída",IF(tbMetas[[#This Row],[Prazo]]&lt;TODAY(),"Atrasada","Em andamento")))</calculatedColumnFormula>
    </tableColumn>
  </tableColumns>
  <tableStyleInfo name="CO Tabela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ancamentos" displayName="tbLancamentos" ref="A4:K208" headerRowDxfId="34" dataDxfId="33" totalsRowDxfId="32">
  <autoFilter ref="A4:K208" xr:uid="{00000000-0009-0000-0100-000003000000}"/>
  <tableColumns count="11">
    <tableColumn id="1" xr3:uid="{00000000-0010-0000-0200-000001000000}" name="Data" dataDxfId="31"/>
    <tableColumn id="2" xr3:uid="{00000000-0010-0000-0200-000002000000}" name="Mês" dataDxfId="30">
      <calculatedColumnFormula>IF(tbLancamentos[[#This Row],[Data]]="","",MONTH(tbLancamentos[[#This Row],[Data]]))</calculatedColumnFormula>
    </tableColumn>
    <tableColumn id="3" xr3:uid="{00000000-0010-0000-0200-000003000000}" name="Código" dataDxfId="29"/>
    <tableColumn id="4" xr3:uid="{00000000-0010-0000-0200-000004000000}" name="Grupo" dataDxfId="28">
      <calculatedColumnFormula>IF(tbLancamentos[[#This Row],[Código]]="","",IFERROR(INDEX(tbCategorias[Grupo],MATCH(tbLancamentos[[#This Row],[Código]],tbCategorias[Código],0)),"CÓDIGO INVÁLIDO"))</calculatedColumnFormula>
    </tableColumn>
    <tableColumn id="5" xr3:uid="{00000000-0010-0000-0200-000005000000}" name="Subcategoria" dataDxfId="27">
      <calculatedColumnFormula>IF(tbLancamentos[[#This Row],[Código]]="","",IFERROR(INDEX(tbCategorias[Subcategoria],MATCH(tbLancamentos[[#This Row],[Código]],tbCategorias[Código],0)),"CÓDIGO INVÁLIDO"))</calculatedColumnFormula>
    </tableColumn>
    <tableColumn id="6" xr3:uid="{00000000-0010-0000-0200-000006000000}" name="Descrição" dataDxfId="26"/>
    <tableColumn id="7" xr3:uid="{00000000-0010-0000-0200-000007000000}" name="Valor" dataDxfId="25"/>
    <tableColumn id="8" xr3:uid="{00000000-0010-0000-0200-000008000000}" name="Pagamento" dataDxfId="24"/>
    <tableColumn id="9" xr3:uid="{00000000-0010-0000-0200-000009000000}" name="Responsável" dataDxfId="23"/>
    <tableColumn id="10" xr3:uid="{00000000-0010-0000-0200-00000A000000}" name="Origem" dataDxfId="22"/>
    <tableColumn id="11" xr3:uid="{D95FC6AE-CAE1-4DF5-A385-CFB7D1139931}" name="Mês Ref" dataDxfId="21">
      <calculatedColumnFormula>IF(tbLancamentos[[#This Row],[Data]]="","",TEXT(tbLancamentos[[#This Row],[Mês]],"00")&amp;"-"&amp;CHOOSE(tbLancamentos[[#This Row],[Mês]],"JAN","FEV","MAR","ABR","MAI","JUN","JUL","AGO","SET","OUT","NOV","DEZ"))</calculatedColumnFormula>
    </tableColumn>
  </tableColumns>
  <tableStyleInfo name="CO Tabela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Rendas" displayName="tbRendas" ref="A3:E29" headerRowDxfId="20" dataDxfId="19" totalsRowDxfId="18">
  <autoFilter ref="A3:E29" xr:uid="{00000000-0009-0000-0100-000002000000}"/>
  <tableColumns count="5">
    <tableColumn id="1" xr3:uid="{00000000-0010-0000-0100-000001000000}" name="Mês" dataDxfId="17"/>
    <tableColumn id="2" xr3:uid="{00000000-0010-0000-0100-000002000000}" name="Fonte" dataDxfId="16"/>
    <tableColumn id="3" xr3:uid="{00000000-0010-0000-0100-000003000000}" name="Previsto" dataDxfId="15"/>
    <tableColumn id="4" xr3:uid="{00000000-0010-0000-0100-000004000000}" name="Real" dataDxfId="14"/>
    <tableColumn id="5" xr3:uid="{00000000-0010-0000-0100-000005000000}" name="Diferença" dataDxfId="13">
      <calculatedColumnFormula>tbRendas[[#This Row],[Real]]-tbRendas[[#This Row],[Previsto]]</calculatedColumnFormula>
    </tableColumn>
  </tableColumns>
  <tableStyleInfo name="CO Tabela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Categorias" displayName="tbCategorias" ref="A3:E77" headerRowDxfId="12" dataDxfId="11" totalsRowDxfId="10">
  <autoFilter ref="A3:E77" xr:uid="{00000000-0009-0000-0100-000001000000}"/>
  <tableColumns count="5">
    <tableColumn id="1" xr3:uid="{00000000-0010-0000-0000-000001000000}" name="Código" dataDxfId="9"/>
    <tableColumn id="2" xr3:uid="{00000000-0010-0000-0000-000002000000}" name="Grupo" dataDxfId="8"/>
    <tableColumn id="3" xr3:uid="{00000000-0010-0000-0000-000003000000}" name="Subcategoria" dataDxfId="7"/>
    <tableColumn id="4" xr3:uid="{28EA44B8-12F6-466D-811C-F9BB7BB72CAA}" name="Fixa" dataDxfId="6"/>
    <tableColumn id="5" xr3:uid="{B97D1DD3-C0B6-478D-9493-D5C15AC23464}" name="Lista" dataDxfId="5">
      <calculatedColumnFormula>tbCategorias[[#This Row],[Código]]&amp;" - "&amp;tbCategorias[[#This Row],[Subcategoria]]</calculatedColumnFormula>
    </tableColumn>
  </tableColumns>
  <tableStyleInfo name="CO Tabela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1467900-398F-4169-9AE7-1D797F29942E}" name="tbRegras" displayName="tbRegras" ref="I3:K53" totalsRowShown="0" headerRowDxfId="4" dataDxfId="3">
  <autoFilter ref="I3:K53" xr:uid="{C1467900-398F-4169-9AE7-1D797F29942E}"/>
  <tableColumns count="3">
    <tableColumn id="1" xr3:uid="{94673FB4-EC5A-46F5-8BEF-56530406168A}" name="Palavra-chave" dataDxfId="2"/>
    <tableColumn id="2" xr3:uid="{938CEC69-F340-4978-B41E-6558DCA99628}" name="Código" dataDxfId="1"/>
    <tableColumn id="3" xr3:uid="{5E3D49ED-8451-4ECC-8885-93EABD083021}" name="Categoria" dataDxfId="0">
      <calculatedColumnFormula>IF(tbRegras[[#This Row],[Código]]="","",IFERROR(INDEX(tbCategorias[Subcategoria],MATCH(tbRegras[[#This Row],[Código]],tbCategorias[Código],0)),"CÓDIGO INVÁLIDO"))</calculatedColumnFormula>
    </tableColumn>
  </tableColumns>
  <tableStyleInfo name="CO Tabela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D371-5225-4FC5-A4F5-813D0EBED00E}">
  <sheetPr codeName="Planilha1"/>
  <dimension ref="A4:L15"/>
  <sheetViews>
    <sheetView workbookViewId="0"/>
  </sheetViews>
  <sheetFormatPr defaultRowHeight="15" x14ac:dyDescent="0.25"/>
  <cols>
    <col min="1" max="1" width="18" bestFit="1" customWidth="1"/>
    <col min="2" max="2" width="13.140625" bestFit="1" customWidth="1"/>
    <col min="4" max="4" width="18" bestFit="1" customWidth="1"/>
    <col min="5" max="5" width="15.28515625" bestFit="1" customWidth="1"/>
    <col min="7" max="7" width="28.85546875" bestFit="1" customWidth="1"/>
    <col min="8" max="8" width="8.140625" bestFit="1" customWidth="1"/>
    <col min="10" max="10" width="18" bestFit="1" customWidth="1"/>
    <col min="11" max="11" width="19.5703125" bestFit="1" customWidth="1"/>
    <col min="12" max="12" width="10.7109375" bestFit="1" customWidth="1"/>
  </cols>
  <sheetData>
    <row r="4" spans="1:12" x14ac:dyDescent="0.25">
      <c r="A4" s="1" t="s">
        <v>146</v>
      </c>
      <c r="B4" t="s">
        <v>160</v>
      </c>
      <c r="D4" s="1" t="s">
        <v>146</v>
      </c>
      <c r="E4" t="s">
        <v>161</v>
      </c>
      <c r="G4" s="1" t="s">
        <v>146</v>
      </c>
      <c r="H4" t="s">
        <v>165</v>
      </c>
      <c r="J4" s="1" t="s">
        <v>214</v>
      </c>
      <c r="K4" s="1" t="s">
        <v>213</v>
      </c>
    </row>
    <row r="5" spans="1:12" x14ac:dyDescent="0.25">
      <c r="A5" s="2" t="s">
        <v>148</v>
      </c>
      <c r="B5" s="6">
        <v>3361</v>
      </c>
      <c r="D5" s="2" t="s">
        <v>9</v>
      </c>
      <c r="E5" s="6">
        <v>840</v>
      </c>
      <c r="G5" s="2" t="s">
        <v>83</v>
      </c>
      <c r="H5" s="6">
        <v>1400</v>
      </c>
      <c r="J5" s="1" t="s">
        <v>146</v>
      </c>
      <c r="K5" t="s">
        <v>166</v>
      </c>
      <c r="L5" t="s">
        <v>147</v>
      </c>
    </row>
    <row r="6" spans="1:12" x14ac:dyDescent="0.25">
      <c r="A6" s="2" t="s">
        <v>147</v>
      </c>
      <c r="B6" s="6">
        <v>3361</v>
      </c>
      <c r="D6" s="2" t="s">
        <v>18</v>
      </c>
      <c r="E6" s="6">
        <v>1575</v>
      </c>
      <c r="G6" s="2" t="s">
        <v>31</v>
      </c>
      <c r="H6" s="6">
        <v>450</v>
      </c>
      <c r="J6" s="2" t="s">
        <v>166</v>
      </c>
      <c r="K6" s="6">
        <v>3361</v>
      </c>
      <c r="L6" s="6">
        <v>3361</v>
      </c>
    </row>
    <row r="7" spans="1:12" x14ac:dyDescent="0.25">
      <c r="D7" s="2" t="s">
        <v>10</v>
      </c>
      <c r="E7" s="6">
        <v>236</v>
      </c>
      <c r="G7" s="2" t="s">
        <v>33</v>
      </c>
      <c r="H7" s="6">
        <v>250</v>
      </c>
      <c r="J7" s="2" t="s">
        <v>147</v>
      </c>
      <c r="K7" s="6">
        <v>3361</v>
      </c>
      <c r="L7" s="6">
        <v>3361</v>
      </c>
    </row>
    <row r="8" spans="1:12" x14ac:dyDescent="0.25">
      <c r="D8" s="2" t="s">
        <v>8</v>
      </c>
      <c r="E8" s="6">
        <v>282</v>
      </c>
      <c r="G8" s="2" t="s">
        <v>57</v>
      </c>
      <c r="H8" s="6">
        <v>240</v>
      </c>
    </row>
    <row r="9" spans="1:12" x14ac:dyDescent="0.25">
      <c r="D9" s="2" t="s">
        <v>13</v>
      </c>
      <c r="E9" s="6">
        <v>428</v>
      </c>
      <c r="G9" s="2" t="s">
        <v>84</v>
      </c>
      <c r="H9" s="6">
        <v>175</v>
      </c>
    </row>
    <row r="10" spans="1:12" x14ac:dyDescent="0.25">
      <c r="D10" s="2" t="s">
        <v>147</v>
      </c>
      <c r="E10" s="6">
        <v>3361</v>
      </c>
      <c r="G10" s="2" t="s">
        <v>27</v>
      </c>
      <c r="H10" s="6">
        <v>150</v>
      </c>
    </row>
    <row r="11" spans="1:12" x14ac:dyDescent="0.25">
      <c r="G11" s="2" t="s">
        <v>56</v>
      </c>
      <c r="H11" s="6">
        <v>143</v>
      </c>
    </row>
    <row r="12" spans="1:12" x14ac:dyDescent="0.25">
      <c r="G12" s="2" t="s">
        <v>32</v>
      </c>
      <c r="H12" s="6">
        <v>140</v>
      </c>
    </row>
    <row r="13" spans="1:12" x14ac:dyDescent="0.25">
      <c r="G13" s="2" t="s">
        <v>36</v>
      </c>
      <c r="H13" s="6">
        <v>89</v>
      </c>
    </row>
    <row r="14" spans="1:12" x14ac:dyDescent="0.25">
      <c r="G14" s="2" t="s">
        <v>28</v>
      </c>
      <c r="H14" s="6">
        <v>77</v>
      </c>
    </row>
    <row r="15" spans="1:12" x14ac:dyDescent="0.25">
      <c r="G15" s="2" t="s">
        <v>147</v>
      </c>
      <c r="H15" s="6">
        <v>3114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8998-1DD5-4A74-B068-12ACCF587BB2}">
  <sheetPr codeName="Planilha6"/>
  <dimension ref="A1:O73"/>
  <sheetViews>
    <sheetView workbookViewId="0"/>
  </sheetViews>
  <sheetFormatPr defaultRowHeight="15" x14ac:dyDescent="0.25"/>
  <sheetData>
    <row r="1" spans="1:15" x14ac:dyDescent="0.25">
      <c r="A1" t="s">
        <v>164</v>
      </c>
      <c r="B1">
        <v>2025</v>
      </c>
      <c r="H1" t="s">
        <v>142</v>
      </c>
      <c r="I1" t="s">
        <v>144</v>
      </c>
      <c r="J1" t="s">
        <v>197</v>
      </c>
      <c r="K1" t="s">
        <v>198</v>
      </c>
      <c r="L1" t="s">
        <v>199</v>
      </c>
    </row>
    <row r="2" spans="1:15" x14ac:dyDescent="0.25">
      <c r="D2">
        <f>INDEX($D$5:$D$16,1)</f>
        <v>1</v>
      </c>
      <c r="E2">
        <f>INDEX($D$5:$D$16,2)</f>
        <v>0</v>
      </c>
      <c r="F2">
        <f>INDEX($D$5:$D$16,3)</f>
        <v>0</v>
      </c>
      <c r="G2">
        <f>INDEX($D$5:$D$16,4)</f>
        <v>0</v>
      </c>
      <c r="H2">
        <f>INDEX($D$5:$D$16,5)</f>
        <v>0</v>
      </c>
      <c r="I2">
        <f>INDEX($D$5:$D$16,6)</f>
        <v>0</v>
      </c>
      <c r="J2">
        <f>INDEX($D$5:$D$16,7)</f>
        <v>0</v>
      </c>
      <c r="K2">
        <f>INDEX($D$5:$D$16,8)</f>
        <v>0</v>
      </c>
      <c r="L2">
        <f>INDEX($D$5:$D$16,9)</f>
        <v>0</v>
      </c>
      <c r="M2">
        <f>INDEX($D$5:$D$16,10)</f>
        <v>0</v>
      </c>
      <c r="N2">
        <f>INDEX($D$5:$D$16,11)</f>
        <v>0</v>
      </c>
      <c r="O2">
        <f>INDEX($D$5:$D$16,12)</f>
        <v>0</v>
      </c>
    </row>
    <row r="3" spans="1:15" x14ac:dyDescent="0.25">
      <c r="A3" t="s">
        <v>196</v>
      </c>
      <c r="B3">
        <v>10</v>
      </c>
      <c r="H3" t="s">
        <v>143</v>
      </c>
      <c r="I3" t="s">
        <v>145</v>
      </c>
    </row>
    <row r="4" spans="1:15" x14ac:dyDescent="0.25">
      <c r="A4" t="s">
        <v>109</v>
      </c>
      <c r="B4" t="s">
        <v>167</v>
      </c>
      <c r="C4" t="s">
        <v>168</v>
      </c>
      <c r="D4" t="s">
        <v>169</v>
      </c>
      <c r="E4" t="s">
        <v>162</v>
      </c>
      <c r="F4" t="s">
        <v>170</v>
      </c>
      <c r="G4" t="s">
        <v>171</v>
      </c>
      <c r="H4" t="s">
        <v>1</v>
      </c>
      <c r="I4" t="s">
        <v>172</v>
      </c>
      <c r="J4" t="s">
        <v>173</v>
      </c>
      <c r="K4" t="s">
        <v>174</v>
      </c>
    </row>
    <row r="5" spans="1:15" x14ac:dyDescent="0.25">
      <c r="A5">
        <v>1</v>
      </c>
      <c r="B5" t="s">
        <v>0</v>
      </c>
      <c r="C5" s="3" t="s">
        <v>148</v>
      </c>
      <c r="D5">
        <v>1</v>
      </c>
      <c r="E5">
        <f>SUMIFS(tbRendas[Real],tbRendas[Mês],A5)</f>
        <v>4730</v>
      </c>
      <c r="F5">
        <f>SUMIFS(tbRendas[Previsto],tbRendas[Mês],A5)</f>
        <v>6678</v>
      </c>
      <c r="G5">
        <f>IFERROR(GETPIVOTDATA("Gasto no mês",Dinâmicas!$A$4,"Mês Ref",C5),0)</f>
        <v>3361</v>
      </c>
      <c r="H5">
        <f>SUMPRODUCT(SUMIFS(INDEX(Orçamento!$D$5:$O$300,0,A5),Orçamento!$B$5:$B$300,$B$21:$B$40)*$C$21:$C$40*($B$21:$B$40&lt;&gt;""))</f>
        <v>19582.3</v>
      </c>
      <c r="I5">
        <f t="shared" ref="I5:I16" si="0">IF(D5=1,E5,NA())</f>
        <v>4730</v>
      </c>
      <c r="J5">
        <f t="shared" ref="J5:J16" si="1">IF(D5=1,G5,NA())</f>
        <v>3361</v>
      </c>
      <c r="K5">
        <f>IF(D5=1,SUMPRODUCT($D$5:D5,$E$5:E5)-SUMPRODUCT($D$5:D5,$G$5:G5),NA())</f>
        <v>1369</v>
      </c>
    </row>
    <row r="6" spans="1:15" x14ac:dyDescent="0.25">
      <c r="A6">
        <v>2</v>
      </c>
      <c r="B6" t="s">
        <v>96</v>
      </c>
      <c r="C6" s="3" t="s">
        <v>149</v>
      </c>
      <c r="D6">
        <v>0</v>
      </c>
      <c r="E6">
        <f>SUMIFS(tbRendas[Real],tbRendas[Mês],A6)</f>
        <v>4440</v>
      </c>
      <c r="F6">
        <f>SUMIFS(tbRendas[Previsto],tbRendas[Mês],A6)</f>
        <v>4898</v>
      </c>
      <c r="G6">
        <f>IFERROR(GETPIVOTDATA("Gasto no mês",Dinâmicas!$A$4,"Mês Ref",C6),0)</f>
        <v>0</v>
      </c>
      <c r="H6">
        <f>SUMPRODUCT(SUMIFS(INDEX(Orçamento!$D$5:$O$300,0,A6),Orçamento!$B$5:$B$300,$B$21:$B$40)*$C$21:$C$40*($B$21:$B$40&lt;&gt;""))</f>
        <v>12013.3</v>
      </c>
      <c r="I6" t="e">
        <f t="shared" si="0"/>
        <v>#N/A</v>
      </c>
      <c r="J6" t="e">
        <f t="shared" si="1"/>
        <v>#N/A</v>
      </c>
      <c r="K6" t="e">
        <f>IF(D6=1,SUMPRODUCT($D$5:D6,$E$5:E6)-SUMPRODUCT($D$5:D6,$G$5:G6),NA())</f>
        <v>#N/A</v>
      </c>
    </row>
    <row r="7" spans="1:15" x14ac:dyDescent="0.25">
      <c r="A7">
        <v>3</v>
      </c>
      <c r="B7" t="s">
        <v>97</v>
      </c>
      <c r="C7" s="3" t="s">
        <v>150</v>
      </c>
      <c r="D7">
        <v>0</v>
      </c>
      <c r="E7">
        <f>SUMIFS(tbRendas[Real],tbRendas[Mês],A7)</f>
        <v>4440</v>
      </c>
      <c r="F7">
        <f>SUMIFS(tbRendas[Previsto],tbRendas[Mês],A7)</f>
        <v>4898</v>
      </c>
      <c r="G7">
        <f>IFERROR(GETPIVOTDATA("Gasto no mês",Dinâmicas!$A$4,"Mês Ref",C7),0)</f>
        <v>0</v>
      </c>
      <c r="H7">
        <f>SUMPRODUCT(SUMIFS(INDEX(Orçamento!$D$5:$O$300,0,A7),Orçamento!$B$5:$B$300,$B$21:$B$40)*$C$21:$C$40*($B$21:$B$40&lt;&gt;""))</f>
        <v>12013.3</v>
      </c>
      <c r="I7" t="e">
        <f t="shared" si="0"/>
        <v>#N/A</v>
      </c>
      <c r="J7" t="e">
        <f t="shared" si="1"/>
        <v>#N/A</v>
      </c>
      <c r="K7" t="e">
        <f>IF(D7=1,SUMPRODUCT($D$5:D7,$E$5:E7)-SUMPRODUCT($D$5:D7,$G$5:G7),NA())</f>
        <v>#N/A</v>
      </c>
    </row>
    <row r="8" spans="1:15" x14ac:dyDescent="0.25">
      <c r="A8">
        <v>4</v>
      </c>
      <c r="B8" t="s">
        <v>98</v>
      </c>
      <c r="C8" s="3" t="s">
        <v>151</v>
      </c>
      <c r="D8">
        <v>0</v>
      </c>
      <c r="E8">
        <f>SUMIFS(tbRendas[Real],tbRendas[Mês],A8)</f>
        <v>4440</v>
      </c>
      <c r="F8">
        <f>SUMIFS(tbRendas[Previsto],tbRendas[Mês],A8)</f>
        <v>4898</v>
      </c>
      <c r="G8">
        <f>IFERROR(GETPIVOTDATA("Gasto no mês",Dinâmicas!$A$4,"Mês Ref",C8),0)</f>
        <v>0</v>
      </c>
      <c r="H8">
        <f>SUMPRODUCT(SUMIFS(INDEX(Orçamento!$D$5:$O$300,0,A8),Orçamento!$B$5:$B$300,$B$21:$B$40)*$C$21:$C$40*($B$21:$B$40&lt;&gt;""))</f>
        <v>12013.3</v>
      </c>
      <c r="I8" t="e">
        <f t="shared" si="0"/>
        <v>#N/A</v>
      </c>
      <c r="J8" t="e">
        <f t="shared" si="1"/>
        <v>#N/A</v>
      </c>
      <c r="K8" t="e">
        <f>IF(D8=1,SUMPRODUCT($D$5:D8,$E$5:E8)-SUMPRODUCT($D$5:D8,$G$5:G8),NA())</f>
        <v>#N/A</v>
      </c>
    </row>
    <row r="9" spans="1:15" x14ac:dyDescent="0.25">
      <c r="A9">
        <v>5</v>
      </c>
      <c r="B9" t="s">
        <v>99</v>
      </c>
      <c r="C9" s="3" t="s">
        <v>152</v>
      </c>
      <c r="D9">
        <v>0</v>
      </c>
      <c r="E9">
        <f>SUMIFS(tbRendas[Real],tbRendas[Mês],A9)</f>
        <v>4440</v>
      </c>
      <c r="F9">
        <f>SUMIFS(tbRendas[Previsto],tbRendas[Mês],A9)</f>
        <v>4898</v>
      </c>
      <c r="G9">
        <f>IFERROR(GETPIVOTDATA("Gasto no mês",Dinâmicas!$A$4,"Mês Ref",C9),0)</f>
        <v>0</v>
      </c>
      <c r="H9">
        <f>SUMPRODUCT(SUMIFS(INDEX(Orçamento!$D$5:$O$300,0,A9),Orçamento!$B$5:$B$300,$B$21:$B$40)*$C$21:$C$40*($B$21:$B$40&lt;&gt;""))</f>
        <v>12013.3</v>
      </c>
      <c r="I9" t="e">
        <f t="shared" si="0"/>
        <v>#N/A</v>
      </c>
      <c r="J9" t="e">
        <f t="shared" si="1"/>
        <v>#N/A</v>
      </c>
      <c r="K9" t="e">
        <f>IF(D9=1,SUMPRODUCT($D$5:D9,$E$5:E9)-SUMPRODUCT($D$5:D9,$G$5:G9),NA())</f>
        <v>#N/A</v>
      </c>
    </row>
    <row r="10" spans="1:15" x14ac:dyDescent="0.25">
      <c r="A10">
        <v>6</v>
      </c>
      <c r="B10" t="s">
        <v>100</v>
      </c>
      <c r="C10" s="3" t="s">
        <v>153</v>
      </c>
      <c r="D10">
        <v>0</v>
      </c>
      <c r="E10">
        <f>SUMIFS(tbRendas[Real],tbRendas[Mês],A10)</f>
        <v>4440</v>
      </c>
      <c r="F10">
        <f>SUMIFS(tbRendas[Previsto],tbRendas[Mês],A10)</f>
        <v>4898</v>
      </c>
      <c r="G10">
        <f>IFERROR(GETPIVOTDATA("Gasto no mês",Dinâmicas!$A$4,"Mês Ref",C10),0)</f>
        <v>0</v>
      </c>
      <c r="H10">
        <f>SUMPRODUCT(SUMIFS(INDEX(Orçamento!$D$5:$O$300,0,A10),Orçamento!$B$5:$B$300,$B$21:$B$40)*$C$21:$C$40*($B$21:$B$40&lt;&gt;""))</f>
        <v>12013.3</v>
      </c>
      <c r="I10" t="e">
        <f t="shared" si="0"/>
        <v>#N/A</v>
      </c>
      <c r="J10" t="e">
        <f t="shared" si="1"/>
        <v>#N/A</v>
      </c>
      <c r="K10" t="e">
        <f>IF(D10=1,SUMPRODUCT($D$5:D10,$E$5:E10)-SUMPRODUCT($D$5:D10,$G$5:G10),NA())</f>
        <v>#N/A</v>
      </c>
    </row>
    <row r="11" spans="1:15" x14ac:dyDescent="0.25">
      <c r="A11">
        <v>7</v>
      </c>
      <c r="B11" t="s">
        <v>101</v>
      </c>
      <c r="C11" s="3" t="s">
        <v>154</v>
      </c>
      <c r="D11">
        <v>0</v>
      </c>
      <c r="E11">
        <f>SUMIFS(tbRendas[Real],tbRendas[Mês],A11)</f>
        <v>4440</v>
      </c>
      <c r="F11">
        <f>SUMIFS(tbRendas[Previsto],tbRendas[Mês],A11)</f>
        <v>4898</v>
      </c>
      <c r="G11">
        <f>IFERROR(GETPIVOTDATA("Gasto no mês",Dinâmicas!$A$4,"Mês Ref",C11),0)</f>
        <v>0</v>
      </c>
      <c r="H11">
        <f>SUMPRODUCT(SUMIFS(INDEX(Orçamento!$D$5:$O$300,0,A11),Orçamento!$B$5:$B$300,$B$21:$B$40)*$C$21:$C$40*($B$21:$B$40&lt;&gt;""))</f>
        <v>12013.3</v>
      </c>
      <c r="I11" t="e">
        <f t="shared" si="0"/>
        <v>#N/A</v>
      </c>
      <c r="J11" t="e">
        <f t="shared" si="1"/>
        <v>#N/A</v>
      </c>
      <c r="K11" t="e">
        <f>IF(D11=1,SUMPRODUCT($D$5:D11,$E$5:E11)-SUMPRODUCT($D$5:D11,$G$5:G11),NA())</f>
        <v>#N/A</v>
      </c>
    </row>
    <row r="12" spans="1:15" x14ac:dyDescent="0.25">
      <c r="A12">
        <v>8</v>
      </c>
      <c r="B12" t="s">
        <v>102</v>
      </c>
      <c r="C12" s="3" t="s">
        <v>155</v>
      </c>
      <c r="D12">
        <v>0</v>
      </c>
      <c r="E12">
        <f>SUMIFS(tbRendas[Real],tbRendas[Mês],A12)</f>
        <v>4440</v>
      </c>
      <c r="F12">
        <f>SUMIFS(tbRendas[Previsto],tbRendas[Mês],A12)</f>
        <v>4898</v>
      </c>
      <c r="G12">
        <f>IFERROR(GETPIVOTDATA("Gasto no mês",Dinâmicas!$A$4,"Mês Ref",C12),0)</f>
        <v>0</v>
      </c>
      <c r="H12">
        <f>SUMPRODUCT(SUMIFS(INDEX(Orçamento!$D$5:$O$300,0,A12),Orçamento!$B$5:$B$300,$B$21:$B$40)*$C$21:$C$40*($B$21:$B$40&lt;&gt;""))</f>
        <v>12013.3</v>
      </c>
      <c r="I12" t="e">
        <f t="shared" si="0"/>
        <v>#N/A</v>
      </c>
      <c r="J12" t="e">
        <f t="shared" si="1"/>
        <v>#N/A</v>
      </c>
      <c r="K12" t="e">
        <f>IF(D12=1,SUMPRODUCT($D$5:D12,$E$5:E12)-SUMPRODUCT($D$5:D12,$G$5:G12),NA())</f>
        <v>#N/A</v>
      </c>
    </row>
    <row r="13" spans="1:15" x14ac:dyDescent="0.25">
      <c r="A13">
        <v>9</v>
      </c>
      <c r="B13" t="s">
        <v>103</v>
      </c>
      <c r="C13" s="3" t="s">
        <v>156</v>
      </c>
      <c r="D13">
        <v>0</v>
      </c>
      <c r="E13">
        <f>SUMIFS(tbRendas[Real],tbRendas[Mês],A13)</f>
        <v>4440</v>
      </c>
      <c r="F13">
        <f>SUMIFS(tbRendas[Previsto],tbRendas[Mês],A13)</f>
        <v>4898</v>
      </c>
      <c r="G13">
        <f>IFERROR(GETPIVOTDATA("Gasto no mês",Dinâmicas!$A$4,"Mês Ref",C13),0)</f>
        <v>0</v>
      </c>
      <c r="H13">
        <f>SUMPRODUCT(SUMIFS(INDEX(Orçamento!$D$5:$O$300,0,A13),Orçamento!$B$5:$B$300,$B$21:$B$40)*$C$21:$C$40*($B$21:$B$40&lt;&gt;""))</f>
        <v>12013.3</v>
      </c>
      <c r="I13" t="e">
        <f t="shared" si="0"/>
        <v>#N/A</v>
      </c>
      <c r="J13" t="e">
        <f t="shared" si="1"/>
        <v>#N/A</v>
      </c>
      <c r="K13" t="e">
        <f>IF(D13=1,SUMPRODUCT($D$5:D13,$E$5:E13)-SUMPRODUCT($D$5:D13,$G$5:G13),NA())</f>
        <v>#N/A</v>
      </c>
    </row>
    <row r="14" spans="1:15" x14ac:dyDescent="0.25">
      <c r="A14">
        <v>10</v>
      </c>
      <c r="B14" t="s">
        <v>104</v>
      </c>
      <c r="C14" s="3" t="s">
        <v>157</v>
      </c>
      <c r="D14">
        <v>0</v>
      </c>
      <c r="E14">
        <f>SUMIFS(tbRendas[Real],tbRendas[Mês],A14)</f>
        <v>4440</v>
      </c>
      <c r="F14">
        <f>SUMIFS(tbRendas[Previsto],tbRendas[Mês],A14)</f>
        <v>4898</v>
      </c>
      <c r="G14">
        <f>IFERROR(GETPIVOTDATA("Gasto no mês",Dinâmicas!$A$4,"Mês Ref",C14),0)</f>
        <v>0</v>
      </c>
      <c r="H14">
        <f>SUMPRODUCT(SUMIFS(INDEX(Orçamento!$D$5:$O$300,0,A14),Orçamento!$B$5:$B$300,$B$21:$B$40)*$C$21:$C$40*($B$21:$B$40&lt;&gt;""))</f>
        <v>12013.3</v>
      </c>
      <c r="I14" t="e">
        <f t="shared" si="0"/>
        <v>#N/A</v>
      </c>
      <c r="J14" t="e">
        <f t="shared" si="1"/>
        <v>#N/A</v>
      </c>
      <c r="K14" t="e">
        <f>IF(D14=1,SUMPRODUCT($D$5:D14,$E$5:E14)-SUMPRODUCT($D$5:D14,$G$5:G14),NA())</f>
        <v>#N/A</v>
      </c>
    </row>
    <row r="15" spans="1:15" x14ac:dyDescent="0.25">
      <c r="A15">
        <v>11</v>
      </c>
      <c r="B15" t="s">
        <v>105</v>
      </c>
      <c r="C15" s="3" t="s">
        <v>158</v>
      </c>
      <c r="D15">
        <v>0</v>
      </c>
      <c r="E15">
        <f>SUMIFS(tbRendas[Real],tbRendas[Mês],A15)</f>
        <v>4440</v>
      </c>
      <c r="F15">
        <f>SUMIFS(tbRendas[Previsto],tbRendas[Mês],A15)</f>
        <v>4898</v>
      </c>
      <c r="G15">
        <f>IFERROR(GETPIVOTDATA("Gasto no mês",Dinâmicas!$A$4,"Mês Ref",C15),0)</f>
        <v>0</v>
      </c>
      <c r="H15">
        <f>SUMPRODUCT(SUMIFS(INDEX(Orçamento!$D$5:$O$300,0,A15),Orçamento!$B$5:$B$300,$B$21:$B$40)*$C$21:$C$40*($B$21:$B$40&lt;&gt;""))</f>
        <v>12013.3</v>
      </c>
      <c r="I15" t="e">
        <f t="shared" si="0"/>
        <v>#N/A</v>
      </c>
      <c r="J15" t="e">
        <f t="shared" si="1"/>
        <v>#N/A</v>
      </c>
      <c r="K15" t="e">
        <f>IF(D15=1,SUMPRODUCT($D$5:D15,$E$5:E15)-SUMPRODUCT($D$5:D15,$G$5:G15),NA())</f>
        <v>#N/A</v>
      </c>
    </row>
    <row r="16" spans="1:15" x14ac:dyDescent="0.25">
      <c r="A16">
        <v>12</v>
      </c>
      <c r="B16" t="s">
        <v>106</v>
      </c>
      <c r="C16" s="3" t="s">
        <v>159</v>
      </c>
      <c r="D16">
        <v>0</v>
      </c>
      <c r="E16">
        <f>SUMIFS(tbRendas[Real],tbRendas[Mês],A16)</f>
        <v>4440</v>
      </c>
      <c r="F16">
        <f>SUMIFS(tbRendas[Previsto],tbRendas[Mês],A16)</f>
        <v>4898</v>
      </c>
      <c r="G16">
        <f>IFERROR(GETPIVOTDATA("Gasto no mês",Dinâmicas!$A$4,"Mês Ref",C16),0)</f>
        <v>0</v>
      </c>
      <c r="H16">
        <f>SUMPRODUCT(SUMIFS(INDEX(Orçamento!$D$5:$O$300,0,A16),Orçamento!$B$5:$B$300,$B$21:$B$40)*$C$21:$C$40*($B$21:$B$40&lt;&gt;""))</f>
        <v>12013.3</v>
      </c>
      <c r="I16" t="e">
        <f t="shared" si="0"/>
        <v>#N/A</v>
      </c>
      <c r="J16" t="e">
        <f t="shared" si="1"/>
        <v>#N/A</v>
      </c>
      <c r="K16" t="e">
        <f>IF(D16=1,SUMPRODUCT($D$5:D16,$E$5:E16)-SUMPRODUCT($D$5:D16,$G$5:G16),NA())</f>
        <v>#N/A</v>
      </c>
    </row>
    <row r="19" spans="1:7" x14ac:dyDescent="0.25">
      <c r="A19" t="s">
        <v>177</v>
      </c>
      <c r="B19">
        <f>COUNTIF(B21:B40,"?*")</f>
        <v>13</v>
      </c>
    </row>
    <row r="20" spans="1:7" x14ac:dyDescent="0.25">
      <c r="B20" t="s">
        <v>21</v>
      </c>
      <c r="C20" t="s">
        <v>169</v>
      </c>
      <c r="D20" t="s">
        <v>1</v>
      </c>
      <c r="E20" t="s">
        <v>163</v>
      </c>
      <c r="F20" t="s">
        <v>175</v>
      </c>
      <c r="G20" t="s">
        <v>176</v>
      </c>
    </row>
    <row r="21" spans="1:7" x14ac:dyDescent="0.25">
      <c r="B21" t="str">
        <f>IFERROR(IF(INDEX(ListaGrupos,1)=0,"",INDEX(ListaGrupos,1)),"")</f>
        <v>Moradia</v>
      </c>
      <c r="C21">
        <v>1</v>
      </c>
      <c r="D21" s="6">
        <f>IF(B21="","",SUMPRODUCT((Orçamento!$B$5:$B$300=B21)*Orçamento!$D$5:$O$300*$D$2:$O$2))</f>
        <v>2002</v>
      </c>
      <c r="E21" s="6">
        <f>IF(B21="","",IFERROR(GETPIVOTDATA("Gasto por grupo",Dinâmicas!$D$4,"Grupo",B21),0))</f>
        <v>282</v>
      </c>
      <c r="F21" s="6">
        <f t="shared" ref="F21:F40" si="2">IF(OR(B21="",C21=0),NA(),D21)</f>
        <v>2002</v>
      </c>
      <c r="G21" s="6">
        <f t="shared" ref="G21:G40" si="3">IF(OR(B21="",C21=0),NA(),E21)</f>
        <v>282</v>
      </c>
    </row>
    <row r="22" spans="1:7" x14ac:dyDescent="0.25">
      <c r="B22" t="str">
        <f>IFERROR(IF(INDEX(ListaGrupos,2)=0,"",INDEX(ListaGrupos,2)),"")</f>
        <v>Alimentação</v>
      </c>
      <c r="C22">
        <v>1</v>
      </c>
      <c r="D22" s="6">
        <f>IF(B22="","",SUMPRODUCT((Orçamento!$B$5:$B$300=B22)*Orçamento!$D$5:$O$300*$D$2:$O$2))</f>
        <v>830</v>
      </c>
      <c r="E22" s="6">
        <f>IF(B22="","",IFERROR(GETPIVOTDATA("Gasto por grupo",Dinâmicas!$D$4,"Grupo",B22),0))</f>
        <v>840</v>
      </c>
      <c r="F22" s="6">
        <f t="shared" si="2"/>
        <v>830</v>
      </c>
      <c r="G22" s="6">
        <f t="shared" si="3"/>
        <v>840</v>
      </c>
    </row>
    <row r="23" spans="1:7" x14ac:dyDescent="0.25">
      <c r="B23" t="str">
        <f>IFERROR(IF(INDEX(ListaGrupos,3)=0,"",INDEX(ListaGrupos,3)),"")</f>
        <v>Comunicação</v>
      </c>
      <c r="C23">
        <v>1</v>
      </c>
      <c r="D23" s="6">
        <f>IF(B23="","",SUMPRODUCT((Orçamento!$B$5:$B$300=B23)*Orçamento!$D$5:$O$300*$D$2:$O$2))</f>
        <v>225.3</v>
      </c>
      <c r="E23" s="6">
        <f>IF(B23="","",IFERROR(GETPIVOTDATA("Gasto por grupo",Dinâmicas!$D$4,"Grupo",B23),0))</f>
        <v>236</v>
      </c>
      <c r="F23" s="6">
        <f t="shared" si="2"/>
        <v>225.3</v>
      </c>
      <c r="G23" s="6">
        <f t="shared" si="3"/>
        <v>236</v>
      </c>
    </row>
    <row r="24" spans="1:7" x14ac:dyDescent="0.25">
      <c r="B24" t="str">
        <f>IFERROR(IF(INDEX(ListaGrupos,4)=0,"",INDEX(ListaGrupos,4)),"")</f>
        <v>Saúde e Cuidados</v>
      </c>
      <c r="C24">
        <v>1</v>
      </c>
      <c r="D24" s="6">
        <f>IF(B24="","",SUMPRODUCT((Orçamento!$B$5:$B$300=B24)*Orçamento!$D$5:$O$300*$D$2:$O$2))</f>
        <v>679</v>
      </c>
      <c r="E24" s="6">
        <f>IF(B24="","",IFERROR(GETPIVOTDATA("Gasto por grupo",Dinâmicas!$D$4,"Grupo",B24),0))</f>
        <v>0</v>
      </c>
      <c r="F24" s="6">
        <f t="shared" si="2"/>
        <v>679</v>
      </c>
      <c r="G24" s="6">
        <f t="shared" si="3"/>
        <v>0</v>
      </c>
    </row>
    <row r="25" spans="1:7" x14ac:dyDescent="0.25">
      <c r="B25" t="str">
        <f>IFERROR(IF(INDEX(ListaGrupos,5)=0,"",INDEX(ListaGrupos,5)),"")</f>
        <v>Vestuário</v>
      </c>
      <c r="C25">
        <v>1</v>
      </c>
      <c r="D25" s="6">
        <f>IF(B25="","",SUMPRODUCT((Orçamento!$B$5:$B$300=B25)*Orçamento!$D$5:$O$300*$D$2:$O$2))</f>
        <v>39</v>
      </c>
      <c r="E25" s="6">
        <f>IF(B25="","",IFERROR(GETPIVOTDATA("Gasto por grupo",Dinâmicas!$D$4,"Grupo",B25),0))</f>
        <v>0</v>
      </c>
      <c r="F25" s="6">
        <f t="shared" si="2"/>
        <v>39</v>
      </c>
      <c r="G25" s="6">
        <f t="shared" si="3"/>
        <v>0</v>
      </c>
    </row>
    <row r="26" spans="1:7" x14ac:dyDescent="0.25">
      <c r="B26" t="str">
        <f>IFERROR(IF(INDEX(ListaGrupos,6)=0,"",INDEX(ListaGrupos,6)),"")</f>
        <v>Transporte</v>
      </c>
      <c r="C26">
        <v>1</v>
      </c>
      <c r="D26" s="6">
        <f>IF(B26="","",SUMPRODUCT((Orçamento!$B$5:$B$300=B26)*Orçamento!$D$5:$O$300*$D$2:$O$2))</f>
        <v>916</v>
      </c>
      <c r="E26" s="6">
        <f>IF(B26="","",IFERROR(GETPIVOTDATA("Gasto por grupo",Dinâmicas!$D$4,"Grupo",B26),0))</f>
        <v>428</v>
      </c>
      <c r="F26" s="6">
        <f t="shared" si="2"/>
        <v>916</v>
      </c>
      <c r="G26" s="6">
        <f t="shared" si="3"/>
        <v>428</v>
      </c>
    </row>
    <row r="27" spans="1:7" x14ac:dyDescent="0.25">
      <c r="B27" t="str">
        <f>IFERROR(IF(INDEX(ListaGrupos,7)=0,"",INDEX(ListaGrupos,7)),"")</f>
        <v>Educação</v>
      </c>
      <c r="C27">
        <v>1</v>
      </c>
      <c r="D27" s="6">
        <f>IF(B27="","",SUMPRODUCT((Orçamento!$B$5:$B$300=B27)*Orçamento!$D$5:$O$300*$D$2:$O$2))</f>
        <v>140</v>
      </c>
      <c r="E27" s="6">
        <f>IF(B27="","",IFERROR(GETPIVOTDATA("Gasto por grupo",Dinâmicas!$D$4,"Grupo",B27),0))</f>
        <v>0</v>
      </c>
      <c r="F27" s="6">
        <f t="shared" si="2"/>
        <v>140</v>
      </c>
      <c r="G27" s="6">
        <f t="shared" si="3"/>
        <v>0</v>
      </c>
    </row>
    <row r="28" spans="1:7" x14ac:dyDescent="0.25">
      <c r="B28" t="str">
        <f>IFERROR(IF(INDEX(ListaGrupos,8)=0,"",INDEX(ListaGrupos,8)),"")</f>
        <v>Lazer</v>
      </c>
      <c r="C28">
        <v>1</v>
      </c>
      <c r="D28" s="6">
        <f>IF(B28="","",SUMPRODUCT((Orçamento!$B$5:$B$300=B28)*Orçamento!$D$5:$O$300*$D$2:$O$2))</f>
        <v>778</v>
      </c>
      <c r="E28" s="6">
        <f>IF(B28="","",IFERROR(GETPIVOTDATA("Gasto por grupo",Dinâmicas!$D$4,"Grupo",B28),0))</f>
        <v>0</v>
      </c>
      <c r="F28" s="6">
        <f t="shared" si="2"/>
        <v>778</v>
      </c>
      <c r="G28" s="6">
        <f t="shared" si="3"/>
        <v>0</v>
      </c>
    </row>
    <row r="29" spans="1:7" x14ac:dyDescent="0.25">
      <c r="B29" t="str">
        <f>IFERROR(IF(INDEX(ListaGrupos,9)=0,"",INDEX(ListaGrupos,9)),"")</f>
        <v>Casa (Artigos)</v>
      </c>
      <c r="C29">
        <v>1</v>
      </c>
      <c r="D29" s="6">
        <f>IF(B29="","",SUMPRODUCT((Orçamento!$B$5:$B$300=B29)*Orçamento!$D$5:$O$300*$D$2:$O$2))</f>
        <v>0</v>
      </c>
      <c r="E29" s="6">
        <f>IF(B29="","",IFERROR(GETPIVOTDATA("Gasto por grupo",Dinâmicas!$D$4,"Grupo",B29),0))</f>
        <v>0</v>
      </c>
      <c r="F29" s="6">
        <f t="shared" si="2"/>
        <v>0</v>
      </c>
      <c r="G29" s="6">
        <f t="shared" si="3"/>
        <v>0</v>
      </c>
    </row>
    <row r="30" spans="1:7" x14ac:dyDescent="0.25">
      <c r="B30" t="str">
        <f>IFERROR(IF(INDEX(ListaGrupos,10)=0,"",INDEX(ListaGrupos,10)),"")</f>
        <v>Outros</v>
      </c>
      <c r="C30">
        <v>1</v>
      </c>
      <c r="D30" s="6">
        <f>IF(B30="","",SUMPRODUCT((Orçamento!$B$5:$B$300=B30)*Orçamento!$D$5:$O$300*$D$2:$O$2))</f>
        <v>0</v>
      </c>
      <c r="E30" s="6">
        <f>IF(B30="","",IFERROR(GETPIVOTDATA("Gasto por grupo",Dinâmicas!$D$4,"Grupo",B30),0))</f>
        <v>0</v>
      </c>
      <c r="F30" s="6">
        <f t="shared" si="2"/>
        <v>0</v>
      </c>
      <c r="G30" s="6">
        <f t="shared" si="3"/>
        <v>0</v>
      </c>
    </row>
    <row r="31" spans="1:7" x14ac:dyDescent="0.25">
      <c r="B31" t="str">
        <f>IFERROR(IF(INDEX(ListaGrupos,11)=0,"",INDEX(ListaGrupos,11)),"")</f>
        <v>Cartões e Dívidas</v>
      </c>
      <c r="C31">
        <v>1</v>
      </c>
      <c r="D31" s="6">
        <f>IF(B31="","",SUMPRODUCT((Orçamento!$B$5:$B$300=B31)*Orçamento!$D$5:$O$300*$D$2:$O$2))</f>
        <v>9173</v>
      </c>
      <c r="E31" s="6">
        <f>IF(B31="","",IFERROR(GETPIVOTDATA("Gasto por grupo",Dinâmicas!$D$4,"Grupo",B31),0))</f>
        <v>1575</v>
      </c>
      <c r="F31" s="6">
        <f t="shared" si="2"/>
        <v>9173</v>
      </c>
      <c r="G31" s="6">
        <f t="shared" si="3"/>
        <v>1575</v>
      </c>
    </row>
    <row r="32" spans="1:7" x14ac:dyDescent="0.25">
      <c r="B32" t="str">
        <f>IFERROR(IF(INDEX(ListaGrupos,12)=0,"",INDEX(ListaGrupos,12)),"")</f>
        <v>Financeiro</v>
      </c>
      <c r="C32">
        <v>1</v>
      </c>
      <c r="D32" s="6">
        <f>IF(B32="","",SUMPRODUCT((Orçamento!$B$5:$B$300=B32)*Orçamento!$D$5:$O$300*$D$2:$O$2))</f>
        <v>0</v>
      </c>
      <c r="E32" s="6">
        <f>IF(B32="","",IFERROR(GETPIVOTDATA("Gasto por grupo",Dinâmicas!$D$4,"Grupo",B32),0))</f>
        <v>0</v>
      </c>
      <c r="F32" s="6">
        <f t="shared" si="2"/>
        <v>0</v>
      </c>
      <c r="G32" s="6">
        <f t="shared" si="3"/>
        <v>0</v>
      </c>
    </row>
    <row r="33" spans="1:7" x14ac:dyDescent="0.25">
      <c r="B33" t="str">
        <f>IFERROR(IF(INDEX(ListaGrupos,13)=0,"",INDEX(ListaGrupos,13)),"")</f>
        <v>Investimentos</v>
      </c>
      <c r="C33">
        <v>1</v>
      </c>
      <c r="D33" s="6">
        <f>IF(B33="","",SUMPRODUCT((Orçamento!$B$5:$B$300=B33)*Orçamento!$D$5:$O$300*$D$2:$O$2))</f>
        <v>4800</v>
      </c>
      <c r="E33" s="6">
        <f>IF(B33="","",IFERROR(GETPIVOTDATA("Gasto por grupo",Dinâmicas!$D$4,"Grupo",B33),0))</f>
        <v>0</v>
      </c>
      <c r="F33" s="6">
        <f t="shared" si="2"/>
        <v>4800</v>
      </c>
      <c r="G33" s="6">
        <f t="shared" si="3"/>
        <v>0</v>
      </c>
    </row>
    <row r="34" spans="1:7" x14ac:dyDescent="0.25">
      <c r="B34" t="str">
        <f>IFERROR(IF(INDEX(ListaGrupos,14)=0,"",INDEX(ListaGrupos,14)),"")</f>
        <v/>
      </c>
      <c r="C34">
        <v>0</v>
      </c>
      <c r="D34" s="6" t="str">
        <f>IF(B34="","",SUMPRODUCT((Orçamento!$B$5:$B$300=B34)*Orçamento!$D$5:$O$300*$D$2:$O$2))</f>
        <v/>
      </c>
      <c r="E34" s="6" t="str">
        <f>IF(B34="","",IFERROR(GETPIVOTDATA("Gasto por grupo",Dinâmicas!$D$4,"Grupo",B34),0))</f>
        <v/>
      </c>
      <c r="F34" s="6" t="e">
        <f t="shared" si="2"/>
        <v>#N/A</v>
      </c>
      <c r="G34" s="6" t="e">
        <f t="shared" si="3"/>
        <v>#N/A</v>
      </c>
    </row>
    <row r="35" spans="1:7" x14ac:dyDescent="0.25">
      <c r="B35" t="str">
        <f>IFERROR(IF(INDEX(ListaGrupos,15)=0,"",INDEX(ListaGrupos,15)),"")</f>
        <v/>
      </c>
      <c r="C35">
        <v>0</v>
      </c>
      <c r="D35" s="6" t="str">
        <f>IF(B35="","",SUMPRODUCT((Orçamento!$B$5:$B$300=B35)*Orçamento!$D$5:$O$300*$D$2:$O$2))</f>
        <v/>
      </c>
      <c r="E35" s="6" t="str">
        <f>IF(B35="","",IFERROR(GETPIVOTDATA("Gasto por grupo",Dinâmicas!$D$4,"Grupo",B35),0))</f>
        <v/>
      </c>
      <c r="F35" s="6" t="e">
        <f t="shared" si="2"/>
        <v>#N/A</v>
      </c>
      <c r="G35" s="6" t="e">
        <f t="shared" si="3"/>
        <v>#N/A</v>
      </c>
    </row>
    <row r="36" spans="1:7" x14ac:dyDescent="0.25">
      <c r="B36" t="str">
        <f>IFERROR(IF(INDEX(ListaGrupos,16)=0,"",INDEX(ListaGrupos,16)),"")</f>
        <v/>
      </c>
      <c r="C36">
        <v>0</v>
      </c>
      <c r="D36" s="6" t="str">
        <f>IF(B36="","",SUMPRODUCT((Orçamento!$B$5:$B$300=B36)*Orçamento!$D$5:$O$300*$D$2:$O$2))</f>
        <v/>
      </c>
      <c r="E36" s="6" t="str">
        <f>IF(B36="","",IFERROR(GETPIVOTDATA("Gasto por grupo",Dinâmicas!$D$4,"Grupo",B36),0))</f>
        <v/>
      </c>
      <c r="F36" s="6" t="e">
        <f t="shared" si="2"/>
        <v>#N/A</v>
      </c>
      <c r="G36" s="6" t="e">
        <f t="shared" si="3"/>
        <v>#N/A</v>
      </c>
    </row>
    <row r="37" spans="1:7" x14ac:dyDescent="0.25">
      <c r="B37" t="str">
        <f>IFERROR(IF(INDEX(ListaGrupos,17)=0,"",INDEX(ListaGrupos,17)),"")</f>
        <v/>
      </c>
      <c r="C37">
        <v>0</v>
      </c>
      <c r="D37" s="6" t="str">
        <f>IF(B37="","",SUMPRODUCT((Orçamento!$B$5:$B$300=B37)*Orçamento!$D$5:$O$300*$D$2:$O$2))</f>
        <v/>
      </c>
      <c r="E37" s="6" t="str">
        <f>IF(B37="","",IFERROR(GETPIVOTDATA("Gasto por grupo",Dinâmicas!$D$4,"Grupo",B37),0))</f>
        <v/>
      </c>
      <c r="F37" s="6" t="e">
        <f t="shared" si="2"/>
        <v>#N/A</v>
      </c>
      <c r="G37" s="6" t="e">
        <f t="shared" si="3"/>
        <v>#N/A</v>
      </c>
    </row>
    <row r="38" spans="1:7" x14ac:dyDescent="0.25">
      <c r="B38" t="str">
        <f>IFERROR(IF(INDEX(ListaGrupos,18)=0,"",INDEX(ListaGrupos,18)),"")</f>
        <v/>
      </c>
      <c r="C38">
        <v>0</v>
      </c>
      <c r="D38" s="6" t="str">
        <f>IF(B38="","",SUMPRODUCT((Orçamento!$B$5:$B$300=B38)*Orçamento!$D$5:$O$300*$D$2:$O$2))</f>
        <v/>
      </c>
      <c r="E38" s="6" t="str">
        <f>IF(B38="","",IFERROR(GETPIVOTDATA("Gasto por grupo",Dinâmicas!$D$4,"Grupo",B38),0))</f>
        <v/>
      </c>
      <c r="F38" s="6" t="e">
        <f t="shared" si="2"/>
        <v>#N/A</v>
      </c>
      <c r="G38" s="6" t="e">
        <f t="shared" si="3"/>
        <v>#N/A</v>
      </c>
    </row>
    <row r="39" spans="1:7" x14ac:dyDescent="0.25">
      <c r="B39" t="str">
        <f>IFERROR(IF(INDEX(ListaGrupos,19)=0,"",INDEX(ListaGrupos,19)),"")</f>
        <v/>
      </c>
      <c r="C39">
        <v>0</v>
      </c>
      <c r="D39" s="6" t="str">
        <f>IF(B39="","",SUMPRODUCT((Orçamento!$B$5:$B$300=B39)*Orçamento!$D$5:$O$300*$D$2:$O$2))</f>
        <v/>
      </c>
      <c r="E39" s="6" t="str">
        <f>IF(B39="","",IFERROR(GETPIVOTDATA("Gasto por grupo",Dinâmicas!$D$4,"Grupo",B39),0))</f>
        <v/>
      </c>
      <c r="F39" s="6" t="e">
        <f t="shared" si="2"/>
        <v>#N/A</v>
      </c>
      <c r="G39" s="6" t="e">
        <f t="shared" si="3"/>
        <v>#N/A</v>
      </c>
    </row>
    <row r="40" spans="1:7" x14ac:dyDescent="0.25">
      <c r="B40" t="str">
        <f>IFERROR(IF(INDEX(ListaGrupos,20)=0,"",INDEX(ListaGrupos,20)),"")</f>
        <v/>
      </c>
      <c r="C40">
        <v>0</v>
      </c>
      <c r="D40" s="6" t="str">
        <f>IF(B40="","",SUMPRODUCT((Orçamento!$B$5:$B$300=B40)*Orçamento!$D$5:$O$300*$D$2:$O$2))</f>
        <v/>
      </c>
      <c r="E40" s="6" t="str">
        <f>IF(B40="","",IFERROR(GETPIVOTDATA("Gasto por grupo",Dinâmicas!$D$4,"Grupo",B40),0))</f>
        <v/>
      </c>
      <c r="F40" s="6" t="e">
        <f t="shared" si="2"/>
        <v>#N/A</v>
      </c>
      <c r="G40" s="6" t="e">
        <f t="shared" si="3"/>
        <v>#N/A</v>
      </c>
    </row>
    <row r="44" spans="1:7" x14ac:dyDescent="0.25">
      <c r="A44" t="s">
        <v>178</v>
      </c>
      <c r="B44" t="s">
        <v>117</v>
      </c>
      <c r="C44" t="s">
        <v>179</v>
      </c>
      <c r="D44" t="s">
        <v>180</v>
      </c>
      <c r="E44" t="s">
        <v>181</v>
      </c>
    </row>
    <row r="45" spans="1:7" x14ac:dyDescent="0.25">
      <c r="A45" t="s">
        <v>162</v>
      </c>
      <c r="B45">
        <f>SUMPRODUCT(D5:D16,E5:E16)</f>
        <v>4730</v>
      </c>
      <c r="C45" t="str">
        <f>DOLLAR(B45,0)</f>
        <v>R$ 4.730</v>
      </c>
      <c r="D45">
        <f>IF(B46=0,0,IF(B45&gt;=B46,1,-1))</f>
        <v>-1</v>
      </c>
      <c r="E45" t="str">
        <f>IF(B46=0,"Sem renda prevista",IF(B45&gt;=B46,"▲ ","▼ ")&amp;DOLLAR(ABS(B45-B46),0)&amp;" vs previsto")</f>
        <v>▼ R$ 1.948 vs previsto</v>
      </c>
    </row>
    <row r="46" spans="1:7" x14ac:dyDescent="0.25">
      <c r="A46" t="s">
        <v>182</v>
      </c>
      <c r="B46">
        <f>SUMPRODUCT(D5:D16,F5:F16)</f>
        <v>6678</v>
      </c>
    </row>
    <row r="47" spans="1:7" x14ac:dyDescent="0.25">
      <c r="A47" t="s">
        <v>4</v>
      </c>
      <c r="B47">
        <f>IFERROR(GETPIVOTDATA("Gasto no mês",Dinâmicas!$A$4),0)</f>
        <v>3361</v>
      </c>
      <c r="C47" t="str">
        <f>DOLLAR(B47,0)</f>
        <v>R$ 3.361</v>
      </c>
      <c r="D47">
        <f>IF(B48=0,0,IF(B47&lt;=B48,1,-1))</f>
        <v>1</v>
      </c>
      <c r="E47" t="str">
        <f>IF(B48=0,"Sem orçamento no período",IF(B47&lt;=B48,"▼ "&amp;DOLLAR(B48-B47,0)&amp;" abaixo do previsto","▲ "&amp;DOLLAR(B47-B48,0)&amp;" acima do previsto"))</f>
        <v>▼ R$ 16.221 abaixo do previsto</v>
      </c>
    </row>
    <row r="48" spans="1:7" x14ac:dyDescent="0.25">
      <c r="A48" t="s">
        <v>183</v>
      </c>
      <c r="B48">
        <f>SUMPRODUCT(D5:D16,H5:H16)</f>
        <v>19582.3</v>
      </c>
    </row>
    <row r="49" spans="1:5" x14ac:dyDescent="0.25">
      <c r="A49" t="s">
        <v>5</v>
      </c>
      <c r="B49">
        <f>B45-B47</f>
        <v>1369</v>
      </c>
      <c r="C49" t="str">
        <f>DOLLAR(B49,0)</f>
        <v>R$ 1.369</v>
      </c>
      <c r="D49">
        <f>IF(B49&gt;=0,1,-1)</f>
        <v>1</v>
      </c>
      <c r="E49" t="str">
        <f>"Previsto "&amp;DOLLAR(B50,0)</f>
        <v>Previsto -R$ 12.904</v>
      </c>
    </row>
    <row r="50" spans="1:5" x14ac:dyDescent="0.25">
      <c r="A50" t="s">
        <v>184</v>
      </c>
      <c r="B50">
        <f>B46-B48</f>
        <v>-12904.3</v>
      </c>
    </row>
    <row r="51" spans="1:5" x14ac:dyDescent="0.25">
      <c r="A51" t="s">
        <v>185</v>
      </c>
      <c r="B51">
        <f>IFERROR(B47/B45,0)</f>
        <v>0.71057082452431286</v>
      </c>
      <c r="C51" t="str">
        <f>TEXT(B51,"0%")</f>
        <v>71%</v>
      </c>
      <c r="D51">
        <f>IF(B45=0,0,IF(B51&lt;=0.8,1,IF(B51&lt;=1,2,-1)))</f>
        <v>1</v>
      </c>
      <c r="E51" t="str">
        <f>IF(B45=0,"Sem renda no período",IF(B51&lt;=0.8,"Saudável",IF(B51&lt;=1,"Perto do limite","Gastando mais do que ganha")))</f>
        <v>Saudável</v>
      </c>
    </row>
    <row r="52" spans="1:5" x14ac:dyDescent="0.25">
      <c r="A52" t="s">
        <v>186</v>
      </c>
      <c r="B52">
        <f>IFERROR(B47/B48,0)</f>
        <v>0.17163458837828038</v>
      </c>
      <c r="C52" t="str">
        <f>TEXT(B52,"0%")</f>
        <v>17%</v>
      </c>
      <c r="D52">
        <f>IF(B48=0,0,IF(B52&lt;=0.9,1,IF(B52&lt;=1,2,-1)))</f>
        <v>1</v>
      </c>
      <c r="E52" t="str">
        <f>"de "&amp;DOLLAR(B48,0)&amp;" · média "&amp;DOLLAR(B54,0)&amp;"/mês"</f>
        <v>de R$ 19.582 · média R$ 3.361/mês</v>
      </c>
    </row>
    <row r="53" spans="1:5" x14ac:dyDescent="0.25">
      <c r="A53" t="s">
        <v>187</v>
      </c>
      <c r="B53">
        <f>SUMPRODUCT(D5:D16*(G5:G16&gt;0))</f>
        <v>1</v>
      </c>
    </row>
    <row r="54" spans="1:5" x14ac:dyDescent="0.25">
      <c r="A54" t="s">
        <v>188</v>
      </c>
      <c r="B54">
        <f>IFERROR(B47/B53,0)</f>
        <v>3361</v>
      </c>
    </row>
    <row r="56" spans="1:5" x14ac:dyDescent="0.25">
      <c r="A56" t="s">
        <v>189</v>
      </c>
      <c r="B56">
        <f>COUNTIF(tbLancamentos[Grupo],"CÓDIGO INVÁLIDO")+COUNTIFS(tbLancamentos[Data],"&lt;"&amp;DATE(Ano,1,1))+COUNTIFS(tbLancamentos[Data],"&gt;"&amp;DATE(Ano,12,31))+COUNTIFS(tbLancamentos[Valor],"&lt;=0")+COUNTIF(tbContas[Categoria],"CÓDIGO INVÁLIDO")</f>
        <v>0</v>
      </c>
      <c r="C56" t="str">
        <f>IF(B56=0,"✓ Dados consistentes","⚠ "&amp;B56&amp;" registro(s) a revisar")</f>
        <v>✓ Dados consistentes</v>
      </c>
      <c r="D56">
        <f>IF(B56=0,1,-1)</f>
        <v>1</v>
      </c>
    </row>
    <row r="58" spans="1:5" x14ac:dyDescent="0.25">
      <c r="A58" t="s">
        <v>190</v>
      </c>
      <c r="C58" t="s">
        <v>287</v>
      </c>
    </row>
    <row r="60" spans="1:5" x14ac:dyDescent="0.25">
      <c r="A60" t="s">
        <v>215</v>
      </c>
      <c r="B60">
        <f>SUMIFS(tbContas[Valor],tbContas[Status],"Aberta")</f>
        <v>0</v>
      </c>
      <c r="C60" t="str">
        <f>DOLLAR(B60,0)</f>
        <v>R$ 0</v>
      </c>
      <c r="D60">
        <f ca="1">IF(B62&gt;0,-1,IF(B64&gt;0,2,IF(B66&gt;0,0,1)))</f>
        <v>1</v>
      </c>
      <c r="E60" t="str">
        <f ca="1">IF(B62&gt;0,B62&amp;" vencida(s) · "&amp;DOLLAR(B61,0),IF(B64&gt;0,B64&amp;" vence(m) em 7 dias",IF(B66=0,"Nenhuma conta em aberto",B66&amp;" conta(s) em dia")))</f>
        <v>Nenhuma conta em aberto</v>
      </c>
    </row>
    <row r="61" spans="1:5" x14ac:dyDescent="0.25">
      <c r="A61" t="s">
        <v>216</v>
      </c>
      <c r="B61">
        <f ca="1">SUMIFS(tbContas[Valor],tbContas[Status],"Aberta",tbContas[Vencimento],"&lt;"&amp;TODAY())</f>
        <v>0</v>
      </c>
      <c r="C61" t="str">
        <f ca="1">DOLLAR(B61,0)</f>
        <v>R$ 0</v>
      </c>
      <c r="D61">
        <f ca="1">IF(B62&gt;0,-1,1)</f>
        <v>1</v>
      </c>
      <c r="E61" t="str">
        <f ca="1">B62&amp;" conta(s)"</f>
        <v>0 conta(s)</v>
      </c>
    </row>
    <row r="62" spans="1:5" x14ac:dyDescent="0.25">
      <c r="A62" t="s">
        <v>217</v>
      </c>
      <c r="B62">
        <f ca="1">COUNTIFS(tbContas[Status],"Aberta",tbContas[Vencimento],"&lt;"&amp;TODAY())</f>
        <v>0</v>
      </c>
    </row>
    <row r="63" spans="1:5" x14ac:dyDescent="0.25">
      <c r="A63" t="s">
        <v>218</v>
      </c>
      <c r="B63">
        <f ca="1">SUMIFS(tbContas[Valor],tbContas[Status],"Aberta",tbContas[Vencimento],"&gt;="&amp;TODAY(),tbContas[Vencimento],"&lt;="&amp;TODAY()+7)</f>
        <v>0</v>
      </c>
      <c r="C63" t="str">
        <f ca="1">DOLLAR(B63,0)</f>
        <v>R$ 0</v>
      </c>
      <c r="D63">
        <f ca="1">IF(B64&gt;0,2,1)</f>
        <v>1</v>
      </c>
      <c r="E63" t="str">
        <f ca="1">B64&amp;" conta(s)"</f>
        <v>0 conta(s)</v>
      </c>
    </row>
    <row r="64" spans="1:5" x14ac:dyDescent="0.25">
      <c r="A64" t="s">
        <v>219</v>
      </c>
      <c r="B64">
        <f ca="1">COUNTIFS(tbContas[Status],"Aberta",tbContas[Vencimento],"&gt;="&amp;TODAY(),tbContas[Vencimento],"&lt;="&amp;TODAY()+7)</f>
        <v>0</v>
      </c>
    </row>
    <row r="65" spans="1:5" x14ac:dyDescent="0.25">
      <c r="A65" t="s">
        <v>220</v>
      </c>
      <c r="B65">
        <f>SUMIFS(tbContas[Valor],tbContas[Status],"Paga")</f>
        <v>0</v>
      </c>
      <c r="C65" t="str">
        <f>DOLLAR(B65,0)</f>
        <v>R$ 0</v>
      </c>
      <c r="D65">
        <f>0</f>
        <v>0</v>
      </c>
      <c r="E65" t="str">
        <f>COUNTIFS(tbContas[Status],"Paga")&amp;" paga(s) no exercício"</f>
        <v>0 paga(s) no exercício</v>
      </c>
    </row>
    <row r="66" spans="1:5" x14ac:dyDescent="0.25">
      <c r="A66" t="s">
        <v>221</v>
      </c>
      <c r="B66">
        <f>COUNTIFS(tbContas[Status],"Aberta")</f>
        <v>0</v>
      </c>
    </row>
    <row r="70" spans="1:5" x14ac:dyDescent="0.25">
      <c r="A70" t="s">
        <v>207</v>
      </c>
      <c r="B70">
        <f>SUM(tbMetas[Alvo])</f>
        <v>60840</v>
      </c>
      <c r="C70" t="str">
        <f>DOLLAR(B70,0)</f>
        <v>R$ 60.840</v>
      </c>
      <c r="D70">
        <f>0</f>
        <v>0</v>
      </c>
      <c r="E70" t="str">
        <f>COUNTIF(tbMetas[Meta],"?*")&amp;" meta(s)"</f>
        <v>6 meta(s)</v>
      </c>
    </row>
    <row r="71" spans="1:5" x14ac:dyDescent="0.25">
      <c r="A71" t="s">
        <v>209</v>
      </c>
      <c r="B71">
        <f>SUM(tbMetas[Acumulado])</f>
        <v>0</v>
      </c>
      <c r="C71" t="str">
        <f>DOLLAR(B71,0)</f>
        <v>R$ 0</v>
      </c>
      <c r="D71">
        <f>0</f>
        <v>0</v>
      </c>
      <c r="E71" t="str">
        <f ca="1">COUNTIF(tbMetas[Situação],"Concluída")&amp;" concluída(s)"</f>
        <v>0 concluída(s)</v>
      </c>
    </row>
    <row r="72" spans="1:5" x14ac:dyDescent="0.25">
      <c r="A72" t="s">
        <v>222</v>
      </c>
      <c r="B72">
        <f>IFERROR(MIN(1,B71/B70),0)</f>
        <v>0</v>
      </c>
      <c r="C72" t="str">
        <f>TEXT(B72,"0%")</f>
        <v>0%</v>
      </c>
      <c r="D72">
        <f ca="1">IF(B70=0,0,IF(B72&gt;=1,1,IF(COUNTIF(tbMetas[Situação],"Atrasada")&gt;0,-1,2)))</f>
        <v>-1</v>
      </c>
      <c r="E72" t="str">
        <f ca="1">COUNTIF(tbMetas[Situação],"Atrasada")&amp;" atrasada(s)"</f>
        <v>6 atrasada(s)</v>
      </c>
    </row>
    <row r="73" spans="1:5" x14ac:dyDescent="0.25">
      <c r="A73" t="s">
        <v>212</v>
      </c>
      <c r="B73">
        <f ca="1">SUM(tbMetas[Aporte mensal])</f>
        <v>60840</v>
      </c>
      <c r="C73" t="str">
        <f ca="1">DOLLAR(B73,0)</f>
        <v>R$ 60.840</v>
      </c>
      <c r="D73">
        <f>0</f>
        <v>0</v>
      </c>
      <c r="E73" t="str">
        <f>"para cumprir no prazo"</f>
        <v>para cumprir no prazo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23403-14C8-4D5F-B31A-242A80D66C00}">
  <sheetPr codeName="Planilha7">
    <tabColor rgb="FF0B1F3A"/>
  </sheetPr>
  <dimension ref="A1:AZ150"/>
  <sheetViews>
    <sheetView showGridLines="0" showRowColHeaders="0" tabSelected="1" zoomScale="80" zoomScaleNormal="80" workbookViewId="0"/>
  </sheetViews>
  <sheetFormatPr defaultRowHeight="14.25" x14ac:dyDescent="0.25"/>
  <cols>
    <col min="1" max="16384" width="9.140625" style="4"/>
  </cols>
  <sheetData>
    <row r="1" spans="1:52" ht="44.1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 ht="30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spans="1:52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spans="1:52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 spans="1:5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spans="1:52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spans="1:52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spans="1:5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spans="1:52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spans="1:52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spans="1:52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spans="1:52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spans="1:52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52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spans="1:52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spans="1:52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spans="1:52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spans="1:52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spans="1:52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spans="1:52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spans="1:52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spans="1:52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spans="1:52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spans="1:52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spans="1:52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spans="1:52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spans="1:52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spans="1:52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spans="1:52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spans="1:52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spans="1:52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spans="1:52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 spans="1:52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spans="1:52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spans="1:52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 spans="1:52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 spans="1:52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 spans="1:52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 spans="1:52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 spans="1:52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 spans="1:52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spans="1:52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 spans="1:52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spans="1:52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spans="1:52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 spans="1:52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 spans="1:52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 spans="1:52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spans="1:52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spans="1:52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spans="1:52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spans="1:52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spans="1:52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spans="1:52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spans="1:52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spans="1:52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spans="1:52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 spans="1:52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spans="1:52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 spans="1:52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spans="1:52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spans="1:52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 spans="1:52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spans="1:52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 spans="1:52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 spans="1:52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 spans="1:52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 spans="1:52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 spans="1:52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 spans="1:52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spans="1:52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spans="1:52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 spans="1:52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 spans="1:52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 spans="1:52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 spans="1:52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 spans="1:52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 spans="1:52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 spans="1:52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spans="1:52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spans="1:52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spans="1:52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spans="1:52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 spans="1:52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 spans="1:52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 spans="1:52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 spans="1:52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 spans="1:52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 spans="1:52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spans="1:52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spans="1:52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spans="1:52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 spans="1:52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spans="1:52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spans="1:52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 spans="1:52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 spans="1:52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spans="1:52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 spans="1:52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 spans="1:52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spans="1:52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spans="1:52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spans="1:52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spans="1:52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spans="1:52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spans="1:52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spans="1:52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spans="1:52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spans="1:52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spans="1:52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spans="1:52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spans="1:52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spans="1:52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spans="1:52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spans="1:52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spans="1:52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spans="1:52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spans="1:52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spans="1:52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spans="1:52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spans="1:52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spans="1:52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spans="1:52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spans="1:52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spans="1:52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spans="1:52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spans="1:52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spans="1:52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spans="1:52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spans="1:52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spans="1:52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spans="1:52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spans="1:52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spans="1:52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spans="1:52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spans="1:52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spans="1:52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spans="1:52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spans="1:52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spans="1:52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spans="1:52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spans="1:52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spans="1:52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spans="1:52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spans="1:52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spans="1:52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spans="1:52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spans="1:52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spans="1:52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227B3-B34F-4DA4-AD7E-731BBAB5AB4D}">
  <sheetPr codeName="Planilha8">
    <tabColor rgb="FF0B1F3A"/>
  </sheetPr>
  <dimension ref="A1:AZ150"/>
  <sheetViews>
    <sheetView showGridLines="0" showRowColHeaders="0" workbookViewId="0"/>
  </sheetViews>
  <sheetFormatPr defaultRowHeight="14.25" x14ac:dyDescent="0.25"/>
  <cols>
    <col min="1" max="1" width="30.7109375" style="4" customWidth="1"/>
    <col min="2" max="2" width="22.28515625" style="4" bestFit="1" customWidth="1"/>
    <col min="3" max="15" width="11.28515625" style="4" customWidth="1"/>
    <col min="16" max="16" width="3.7109375" style="4" customWidth="1"/>
    <col min="17" max="17" width="15.7109375" style="4" bestFit="1" customWidth="1"/>
    <col min="18" max="18" width="8.28515625" style="4" bestFit="1" customWidth="1"/>
    <col min="19" max="19" width="10.140625" style="4" bestFit="1" customWidth="1"/>
    <col min="20" max="20" width="12.5703125" style="4" bestFit="1" customWidth="1"/>
    <col min="21" max="21" width="12.42578125" style="4" bestFit="1" customWidth="1"/>
    <col min="22" max="24" width="13.28515625" style="4" customWidth="1"/>
    <col min="25" max="16384" width="9.140625" style="4"/>
  </cols>
  <sheetData>
    <row r="1" spans="1:52" ht="44.1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 ht="30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spans="1:52" ht="12" customHeight="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spans="1:52" ht="17.25" x14ac:dyDescent="0.3">
      <c r="A4" s="8"/>
      <c r="B4" s="9" t="s">
        <v>223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9" t="s">
        <v>226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 spans="1:5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spans="1:52" ht="15" x14ac:dyDescent="0.25">
      <c r="A6" s="8"/>
      <c r="B6" s="56" t="s">
        <v>224</v>
      </c>
      <c r="C6" s="56" t="s">
        <v>109</v>
      </c>
      <c r="D6" s="57"/>
      <c r="E6"/>
      <c r="F6"/>
      <c r="G6"/>
      <c r="H6"/>
      <c r="I6"/>
      <c r="J6"/>
      <c r="K6"/>
      <c r="L6"/>
      <c r="M6"/>
      <c r="N6"/>
      <c r="O6"/>
      <c r="P6" s="8"/>
      <c r="Q6" s="56" t="s">
        <v>21</v>
      </c>
      <c r="R6" s="57" t="s">
        <v>227</v>
      </c>
      <c r="S6" s="57" t="s">
        <v>228</v>
      </c>
      <c r="T6" s="57" t="s">
        <v>229</v>
      </c>
      <c r="U6" s="57" t="s">
        <v>230</v>
      </c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spans="1:52" ht="15" x14ac:dyDescent="0.25">
      <c r="A7" s="8"/>
      <c r="B7" s="56" t="s">
        <v>225</v>
      </c>
      <c r="C7" s="57" t="s">
        <v>148</v>
      </c>
      <c r="D7" s="57" t="s">
        <v>147</v>
      </c>
      <c r="E7"/>
      <c r="F7"/>
      <c r="G7"/>
      <c r="H7"/>
      <c r="I7"/>
      <c r="J7"/>
      <c r="K7"/>
      <c r="L7"/>
      <c r="M7"/>
      <c r="N7"/>
      <c r="O7"/>
      <c r="P7" s="8"/>
      <c r="Q7" s="58" t="s">
        <v>18</v>
      </c>
      <c r="R7" s="59">
        <v>1575</v>
      </c>
      <c r="S7" s="60">
        <v>0.4686105325795894</v>
      </c>
      <c r="T7" s="61">
        <v>2</v>
      </c>
      <c r="U7" s="59">
        <v>787.5</v>
      </c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spans="1:52" ht="15" x14ac:dyDescent="0.25">
      <c r="A8" s="8"/>
      <c r="B8" s="58" t="s">
        <v>9</v>
      </c>
      <c r="C8" s="62">
        <v>840</v>
      </c>
      <c r="D8" s="62">
        <v>840</v>
      </c>
      <c r="E8"/>
      <c r="F8"/>
      <c r="G8"/>
      <c r="H8"/>
      <c r="I8"/>
      <c r="J8"/>
      <c r="K8"/>
      <c r="L8"/>
      <c r="M8"/>
      <c r="N8"/>
      <c r="O8"/>
      <c r="P8" s="8"/>
      <c r="Q8" s="58" t="s">
        <v>9</v>
      </c>
      <c r="R8" s="59">
        <v>840</v>
      </c>
      <c r="S8" s="60">
        <v>0.24992561737578101</v>
      </c>
      <c r="T8" s="61">
        <v>3</v>
      </c>
      <c r="U8" s="59">
        <v>280</v>
      </c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ht="15" x14ac:dyDescent="0.25">
      <c r="A9" s="8"/>
      <c r="B9" s="58" t="s">
        <v>18</v>
      </c>
      <c r="C9" s="62">
        <v>1575</v>
      </c>
      <c r="D9" s="62">
        <v>1575</v>
      </c>
      <c r="E9"/>
      <c r="F9"/>
      <c r="G9"/>
      <c r="H9"/>
      <c r="I9"/>
      <c r="J9"/>
      <c r="K9"/>
      <c r="L9"/>
      <c r="M9"/>
      <c r="N9"/>
      <c r="O9"/>
      <c r="P9" s="8"/>
      <c r="Q9" s="58" t="s">
        <v>13</v>
      </c>
      <c r="R9" s="59">
        <v>428</v>
      </c>
      <c r="S9" s="60">
        <v>0.12734305266289794</v>
      </c>
      <c r="T9" s="61">
        <v>3</v>
      </c>
      <c r="U9" s="59">
        <v>142.66666666666666</v>
      </c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spans="1:52" ht="15" x14ac:dyDescent="0.25">
      <c r="A10" s="8"/>
      <c r="B10" s="58" t="s">
        <v>10</v>
      </c>
      <c r="C10" s="62">
        <v>236</v>
      </c>
      <c r="D10" s="62">
        <v>236</v>
      </c>
      <c r="E10"/>
      <c r="F10"/>
      <c r="G10"/>
      <c r="H10"/>
      <c r="I10"/>
      <c r="J10"/>
      <c r="K10"/>
      <c r="L10"/>
      <c r="M10"/>
      <c r="N10"/>
      <c r="O10"/>
      <c r="P10" s="8"/>
      <c r="Q10" s="58" t="s">
        <v>8</v>
      </c>
      <c r="R10" s="59">
        <v>282</v>
      </c>
      <c r="S10" s="60">
        <v>8.3903600119012198E-2</v>
      </c>
      <c r="T10" s="61">
        <v>3</v>
      </c>
      <c r="U10" s="59">
        <v>94</v>
      </c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spans="1:52" ht="15" x14ac:dyDescent="0.25">
      <c r="A11" s="8"/>
      <c r="B11" s="58" t="s">
        <v>8</v>
      </c>
      <c r="C11" s="62">
        <v>282</v>
      </c>
      <c r="D11" s="62">
        <v>282</v>
      </c>
      <c r="E11"/>
      <c r="F11"/>
      <c r="G11"/>
      <c r="H11"/>
      <c r="I11"/>
      <c r="J11"/>
      <c r="K11"/>
      <c r="L11"/>
      <c r="M11"/>
      <c r="N11"/>
      <c r="O11"/>
      <c r="P11" s="8"/>
      <c r="Q11" s="58" t="s">
        <v>10</v>
      </c>
      <c r="R11" s="59">
        <v>236</v>
      </c>
      <c r="S11" s="60">
        <v>7.0217197262719425E-2</v>
      </c>
      <c r="T11" s="61">
        <v>6</v>
      </c>
      <c r="U11" s="59">
        <v>39.333333333333336</v>
      </c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spans="1:52" ht="15" x14ac:dyDescent="0.25">
      <c r="A12" s="8"/>
      <c r="B12" s="58" t="s">
        <v>13</v>
      </c>
      <c r="C12" s="62">
        <v>428</v>
      </c>
      <c r="D12" s="62">
        <v>428</v>
      </c>
      <c r="E12"/>
      <c r="F12"/>
      <c r="G12"/>
      <c r="H12"/>
      <c r="I12"/>
      <c r="J12"/>
      <c r="K12"/>
      <c r="L12"/>
      <c r="M12"/>
      <c r="N12"/>
      <c r="O12"/>
      <c r="P12" s="8"/>
      <c r="Q12" s="58" t="s">
        <v>147</v>
      </c>
      <c r="R12" s="59">
        <v>3361</v>
      </c>
      <c r="S12" s="60">
        <v>1</v>
      </c>
      <c r="T12" s="61">
        <v>17</v>
      </c>
      <c r="U12" s="59">
        <v>197.70588235294119</v>
      </c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spans="1:52" ht="15" x14ac:dyDescent="0.25">
      <c r="A13" s="8"/>
      <c r="B13" s="58" t="s">
        <v>147</v>
      </c>
      <c r="C13" s="62">
        <v>3361</v>
      </c>
      <c r="D13" s="62">
        <v>3361</v>
      </c>
      <c r="E13"/>
      <c r="F13"/>
      <c r="G13"/>
      <c r="H13"/>
      <c r="I13"/>
      <c r="J13"/>
      <c r="K13"/>
      <c r="L13"/>
      <c r="M13"/>
      <c r="N13"/>
      <c r="O13"/>
      <c r="P13" s="8"/>
      <c r="Q13"/>
      <c r="R13"/>
      <c r="S13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spans="1:52" ht="15" x14ac:dyDescent="0.25">
      <c r="A14" s="8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 s="8"/>
      <c r="Q14"/>
      <c r="R14"/>
      <c r="S14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52" ht="15" x14ac:dyDescent="0.25">
      <c r="A15" s="8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 s="8"/>
      <c r="Q15"/>
      <c r="R15"/>
      <c r="S15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spans="1:52" ht="15" x14ac:dyDescent="0.25">
      <c r="A16" s="8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 s="8"/>
      <c r="Q16"/>
      <c r="R16"/>
      <c r="S16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spans="1:52" ht="15" x14ac:dyDescent="0.25">
      <c r="A17" s="8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 s="8"/>
      <c r="Q17"/>
      <c r="R17"/>
      <c r="S17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spans="1:52" ht="15" x14ac:dyDescent="0.25">
      <c r="A18" s="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 s="8"/>
      <c r="Q18"/>
      <c r="R18"/>
      <c r="S1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spans="1:52" ht="15" x14ac:dyDescent="0.25">
      <c r="A19" s="8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 s="8"/>
      <c r="Q19"/>
      <c r="R19"/>
      <c r="S19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spans="1:52" ht="15" x14ac:dyDescent="0.25">
      <c r="A20" s="8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 s="8"/>
      <c r="Q20"/>
      <c r="R20"/>
      <c r="S20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spans="1:52" ht="15" x14ac:dyDescent="0.25">
      <c r="A21" s="8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 s="8"/>
      <c r="Q21"/>
      <c r="R21"/>
      <c r="S21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spans="1:52" ht="17.25" x14ac:dyDescent="0.3">
      <c r="A22" s="8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 s="8"/>
      <c r="Q22" s="10" t="s">
        <v>231</v>
      </c>
      <c r="R22"/>
      <c r="S22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spans="1:52" ht="15" x14ac:dyDescent="0.25">
      <c r="A23" s="8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 s="8"/>
      <c r="Q23"/>
      <c r="R23"/>
      <c r="S23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spans="1:52" ht="15" x14ac:dyDescent="0.25">
      <c r="A24" s="8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 s="8"/>
      <c r="Q24" s="56" t="s">
        <v>232</v>
      </c>
      <c r="R24" s="56" t="s">
        <v>118</v>
      </c>
      <c r="S24" s="57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spans="1:52" ht="15" x14ac:dyDescent="0.25">
      <c r="A25" s="8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 s="8"/>
      <c r="Q25" s="56" t="s">
        <v>119</v>
      </c>
      <c r="R25" s="57" t="s">
        <v>166</v>
      </c>
      <c r="S25" s="57" t="s">
        <v>147</v>
      </c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spans="1:52" ht="15" x14ac:dyDescent="0.25">
      <c r="A26" s="8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 s="8"/>
      <c r="Q26" s="58" t="s">
        <v>166</v>
      </c>
      <c r="R26" s="59">
        <v>3361</v>
      </c>
      <c r="S26" s="59">
        <v>3361</v>
      </c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spans="1:52" ht="15" x14ac:dyDescent="0.25">
      <c r="A27" s="8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 s="8"/>
      <c r="Q27" s="58" t="s">
        <v>147</v>
      </c>
      <c r="R27" s="59">
        <v>3361</v>
      </c>
      <c r="S27" s="59">
        <v>3361</v>
      </c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spans="1:52" ht="15" x14ac:dyDescent="0.25">
      <c r="A28" s="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 s="8"/>
      <c r="Q28"/>
      <c r="R28"/>
      <c r="S2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spans="1:52" ht="15" x14ac:dyDescent="0.25">
      <c r="A29" s="8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 s="8"/>
      <c r="Q29"/>
      <c r="R29"/>
      <c r="S29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spans="1:52" ht="15" x14ac:dyDescent="0.25">
      <c r="A30" s="8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 s="8"/>
      <c r="Q30"/>
      <c r="R30"/>
      <c r="S30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spans="1:52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/>
      <c r="R31"/>
      <c r="S31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spans="1:52" ht="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/>
      <c r="R32"/>
      <c r="S32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spans="1:52" ht="15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/>
      <c r="R33"/>
      <c r="S33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 spans="1:52" ht="15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/>
      <c r="R34"/>
      <c r="S34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spans="1:52" ht="15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/>
      <c r="R35"/>
      <c r="S35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spans="1:52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/>
      <c r="R36"/>
      <c r="S36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 spans="1:52" ht="15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/>
      <c r="R37"/>
      <c r="S37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 spans="1:52" ht="15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/>
      <c r="R38"/>
      <c r="S3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 spans="1:52" ht="15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/>
      <c r="R39"/>
      <c r="S39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 spans="1:52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/>
      <c r="R40"/>
      <c r="S40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 spans="1:52" ht="15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/>
      <c r="R41"/>
      <c r="S41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 spans="1:52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spans="1:52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 spans="1:52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spans="1:52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spans="1:52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 spans="1:52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 spans="1:52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 spans="1:52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spans="1:52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spans="1:52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spans="1:52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spans="1:52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spans="1:52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spans="1:52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spans="1:52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spans="1:52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spans="1:52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 spans="1:52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spans="1:52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 spans="1:52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spans="1:52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spans="1:52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 spans="1:52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spans="1:52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 spans="1:52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 spans="1:52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 spans="1:52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 spans="1:52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 spans="1:52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 spans="1:52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spans="1:52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spans="1:52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 spans="1:52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 spans="1:52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 spans="1:52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 spans="1:52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 spans="1:52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 spans="1:52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 spans="1:52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spans="1:52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spans="1:52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spans="1:52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spans="1:52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 spans="1:52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 spans="1:52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 spans="1:52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 spans="1:52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 spans="1:52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 spans="1:52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spans="1:52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spans="1:52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spans="1:52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 spans="1:52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spans="1:52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spans="1:52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 spans="1:52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 spans="1:52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spans="1:52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 spans="1:52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 spans="1:52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spans="1:52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spans="1:52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spans="1:52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spans="1:52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spans="1:52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spans="1:52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spans="1:52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spans="1:52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spans="1:52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spans="1:52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spans="1:52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spans="1:52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spans="1:52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spans="1:52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spans="1:52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spans="1:52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spans="1:52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spans="1:52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spans="1:52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spans="1:52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spans="1:52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spans="1:52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spans="1:52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spans="1:52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spans="1:52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spans="1:52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spans="1:52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spans="1:52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spans="1:52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spans="1:52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spans="1:52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spans="1:52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spans="1:52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spans="1:52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spans="1:52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spans="1:52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spans="1:52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spans="1:52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spans="1:52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spans="1:52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spans="1:52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spans="1:52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spans="1:52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spans="1:52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spans="1:52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spans="1:52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spans="1:52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spans="1:52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spans="1:52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</sheetData>
  <conditionalFormatting pivot="1" sqref="C8:D13">
    <cfRule type="colorScale" priority="1">
      <colorScale>
        <cfvo type="min"/>
        <cfvo type="max"/>
        <color rgb="FFFFFFFF"/>
        <color rgb="FF93B4D6"/>
      </colorScale>
    </cfRule>
  </conditionalFormatting>
  <conditionalFormatting pivot="1" sqref="S7:S12">
    <cfRule type="dataBar" priority="2">
      <dataBar>
        <cfvo type="min"/>
        <cfvo type="max"/>
        <color rgb="FF93B4D6"/>
      </dataBar>
      <extLst>
        <ext xmlns:x14="http://schemas.microsoft.com/office/spreadsheetml/2009/9/main" uri="{B025F937-C7B1-47D3-B67F-A62EFF666E3E}">
          <x14:id>{92962C31-5BEF-46BB-91D7-B9BF7DA43060}</x14:id>
        </ext>
      </extLst>
    </cfRule>
  </conditionalFormatting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92962C31-5BEF-46BB-91D7-B9BF7DA43060}">
            <x14:dataBar minLength="0" maxLength="100" negativeBarColorSameAsPositive="1" axisPosition="none">
              <x14:cfvo type="min"/>
              <x14:cfvo type="max"/>
            </x14:dataBar>
          </x14:cfRule>
          <xm:sqref>S7:S12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6AD78-6CC5-4A6E-B674-EB1202BDF255}">
  <sheetPr codeName="Planilha9">
    <tabColor rgb="FF0B1F3A"/>
  </sheetPr>
  <dimension ref="A1:AZ150"/>
  <sheetViews>
    <sheetView showGridLines="0" showRowColHeaders="0" workbookViewId="0">
      <selection activeCell="C7" sqref="C7"/>
    </sheetView>
  </sheetViews>
  <sheetFormatPr defaultRowHeight="14.25" x14ac:dyDescent="0.25"/>
  <cols>
    <col min="1" max="1" width="2.7109375" style="4" customWidth="1"/>
    <col min="2" max="2" width="14.7109375" style="4" customWidth="1"/>
    <col min="3" max="3" width="38.7109375" style="4" customWidth="1"/>
    <col min="4" max="4" width="2.7109375" style="4" customWidth="1"/>
    <col min="5" max="5" width="3.7109375" style="4" customWidth="1"/>
    <col min="6" max="6" width="14.7109375" style="4" customWidth="1"/>
    <col min="7" max="7" width="26.7109375" style="4" customWidth="1"/>
    <col min="8" max="8" width="2.7109375" style="4" customWidth="1"/>
    <col min="9" max="9" width="3.7109375" style="4" customWidth="1"/>
    <col min="10" max="10" width="12.7109375" style="4" customWidth="1"/>
    <col min="11" max="11" width="22.7109375" style="4" customWidth="1"/>
    <col min="12" max="12" width="2.7109375" style="4" customWidth="1"/>
    <col min="13" max="16384" width="9.140625" style="4"/>
  </cols>
  <sheetData>
    <row r="1" spans="1:52" ht="44.1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 ht="30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spans="1:52" ht="12" customHeight="1" thickBo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spans="1:52" ht="24" customHeight="1" thickTop="1" x14ac:dyDescent="0.25">
      <c r="A4" s="8"/>
      <c r="B4" s="45" t="s">
        <v>191</v>
      </c>
      <c r="C4" s="43"/>
      <c r="D4" s="44"/>
      <c r="E4" s="8"/>
      <c r="F4" s="45" t="s">
        <v>192</v>
      </c>
      <c r="G4" s="43"/>
      <c r="H4" s="44"/>
      <c r="I4" s="8"/>
      <c r="J4" s="45" t="s">
        <v>194</v>
      </c>
      <c r="K4" s="43"/>
      <c r="L4" s="44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 spans="1:52" ht="8.1" customHeight="1" x14ac:dyDescent="0.25">
      <c r="A5" s="8"/>
      <c r="B5" s="38"/>
      <c r="C5" s="47"/>
      <c r="D5" s="39"/>
      <c r="E5" s="8"/>
      <c r="F5" s="38"/>
      <c r="G5" s="47"/>
      <c r="H5" s="39"/>
      <c r="I5" s="8"/>
      <c r="J5" s="38"/>
      <c r="K5" s="47"/>
      <c r="L5" s="39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spans="1:52" ht="24" customHeight="1" x14ac:dyDescent="0.25">
      <c r="A6" s="8"/>
      <c r="B6" s="46" t="s">
        <v>115</v>
      </c>
      <c r="C6" s="48">
        <v>46022</v>
      </c>
      <c r="D6" s="39"/>
      <c r="E6" s="8"/>
      <c r="F6" s="46" t="s">
        <v>21</v>
      </c>
      <c r="G6" s="11"/>
      <c r="H6" s="39"/>
      <c r="I6" s="8"/>
      <c r="J6" s="46" t="s">
        <v>109</v>
      </c>
      <c r="K6" s="13">
        <v>12</v>
      </c>
      <c r="L6" s="39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spans="1:52" ht="24" customHeight="1" x14ac:dyDescent="0.25">
      <c r="A7" s="8"/>
      <c r="B7" s="46" t="s">
        <v>141</v>
      </c>
      <c r="C7" s="11"/>
      <c r="D7" s="39"/>
      <c r="E7" s="8"/>
      <c r="F7" s="46" t="s">
        <v>7</v>
      </c>
      <c r="G7" s="11"/>
      <c r="H7" s="39"/>
      <c r="I7" s="8"/>
      <c r="J7" s="46" t="s">
        <v>110</v>
      </c>
      <c r="K7" s="11"/>
      <c r="L7" s="39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spans="1:52" ht="24" customHeight="1" x14ac:dyDescent="0.25">
      <c r="A8" s="8"/>
      <c r="B8" s="46" t="s">
        <v>117</v>
      </c>
      <c r="C8" s="12"/>
      <c r="D8" s="39"/>
      <c r="E8" s="8"/>
      <c r="F8" s="46" t="s">
        <v>193</v>
      </c>
      <c r="G8" s="12"/>
      <c r="H8" s="39"/>
      <c r="I8" s="8"/>
      <c r="J8" s="46" t="s">
        <v>1</v>
      </c>
      <c r="K8" s="12"/>
      <c r="L8" s="39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ht="24" customHeight="1" x14ac:dyDescent="0.25">
      <c r="A9" s="8"/>
      <c r="B9" s="46" t="s">
        <v>116</v>
      </c>
      <c r="C9" s="11"/>
      <c r="D9" s="39"/>
      <c r="E9" s="8"/>
      <c r="F9" s="46" t="s">
        <v>233</v>
      </c>
      <c r="G9" s="11" t="s">
        <v>200</v>
      </c>
      <c r="H9" s="39"/>
      <c r="I9" s="8"/>
      <c r="J9" s="46" t="s">
        <v>2</v>
      </c>
      <c r="K9" s="12"/>
      <c r="L9" s="39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spans="1:52" ht="24" customHeight="1" x14ac:dyDescent="0.25">
      <c r="A10" s="8"/>
      <c r="B10" s="46" t="s">
        <v>118</v>
      </c>
      <c r="C10" s="11"/>
      <c r="D10" s="39"/>
      <c r="E10" s="8"/>
      <c r="F10" s="38"/>
      <c r="G10" s="47"/>
      <c r="H10" s="39"/>
      <c r="I10" s="8"/>
      <c r="J10" s="38"/>
      <c r="K10" s="47"/>
      <c r="L10" s="39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spans="1:52" ht="24" customHeight="1" x14ac:dyDescent="0.25">
      <c r="A11" s="8"/>
      <c r="B11" s="46" t="s">
        <v>119</v>
      </c>
      <c r="C11" s="11"/>
      <c r="D11" s="39"/>
      <c r="E11" s="8"/>
      <c r="F11" s="38"/>
      <c r="G11" s="47"/>
      <c r="H11" s="39"/>
      <c r="I11" s="8"/>
      <c r="J11" s="38"/>
      <c r="K11" s="47"/>
      <c r="L11" s="39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spans="1:52" ht="24" customHeight="1" x14ac:dyDescent="0.25">
      <c r="A12" s="8"/>
      <c r="B12" s="38"/>
      <c r="C12" s="49" t="str">
        <f>IFERROR(IF(frmCat="","","Previsto no mês "&amp;DOLLAR(IFERROR(INDEX(Orçamento!$D$5:$O$300,MATCH(VALUE(LEFT(frmCat,FIND(" ",frmCat)-1)),Orçamento!$A$5:$A$300,0),MONTH(frmData)),0),2)&amp;"  ·  gasto "&amp;DOLLAR(SUMIFS(tbLancamentos[Valor],tbLancamentos[Código],VALUE(LEFT(frmCat,FIND(" ",frmCat)-1)),tbLancamentos[Mês],MONTH(frmData)),2)),"")</f>
        <v/>
      </c>
      <c r="D12" s="39"/>
      <c r="E12" s="8"/>
      <c r="F12" s="38"/>
      <c r="G12" s="47"/>
      <c r="H12" s="39"/>
      <c r="I12" s="8"/>
      <c r="J12" s="38"/>
      <c r="K12" s="47"/>
      <c r="L12" s="39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spans="1:52" ht="8.1" customHeight="1" x14ac:dyDescent="0.25">
      <c r="A13" s="8"/>
      <c r="B13" s="38"/>
      <c r="C13" s="47"/>
      <c r="D13" s="39"/>
      <c r="E13" s="8"/>
      <c r="F13" s="38"/>
      <c r="G13" s="47"/>
      <c r="H13" s="39"/>
      <c r="I13" s="8"/>
      <c r="J13" s="38"/>
      <c r="K13" s="47"/>
      <c r="L13" s="39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spans="1:52" ht="24" customHeight="1" x14ac:dyDescent="0.25">
      <c r="A14" s="8"/>
      <c r="B14" s="38"/>
      <c r="C14" s="47"/>
      <c r="D14" s="39"/>
      <c r="E14" s="8"/>
      <c r="F14" s="38"/>
      <c r="G14" s="47"/>
      <c r="H14" s="39"/>
      <c r="I14" s="8"/>
      <c r="J14" s="38"/>
      <c r="K14" s="47"/>
      <c r="L14" s="39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52" ht="9.9499999999999993" customHeight="1" x14ac:dyDescent="0.25">
      <c r="A15" s="8"/>
      <c r="B15" s="40"/>
      <c r="C15" s="41"/>
      <c r="D15" s="42"/>
      <c r="E15" s="8"/>
      <c r="F15" s="40"/>
      <c r="G15" s="41"/>
      <c r="H15" s="42"/>
      <c r="I15" s="8"/>
      <c r="J15" s="40"/>
      <c r="K15" s="41"/>
      <c r="L15" s="42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spans="1:52" ht="14.1" customHeight="1" thickBot="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spans="1:52" ht="24" customHeight="1" thickTop="1" x14ac:dyDescent="0.25">
      <c r="A17" s="8"/>
      <c r="B17" s="45" t="s">
        <v>286</v>
      </c>
      <c r="C17" s="43"/>
      <c r="D17" s="43"/>
      <c r="E17" s="43"/>
      <c r="F17" s="43"/>
      <c r="G17" s="43"/>
      <c r="H17" s="44"/>
      <c r="I17" s="8"/>
      <c r="J17" s="45" t="s">
        <v>195</v>
      </c>
      <c r="K17" s="43"/>
      <c r="L17" s="44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spans="1:52" ht="8.1" customHeight="1" x14ac:dyDescent="0.25">
      <c r="A18" s="8"/>
      <c r="B18" s="38"/>
      <c r="C18" s="47"/>
      <c r="D18" s="47"/>
      <c r="E18" s="47"/>
      <c r="F18" s="47"/>
      <c r="G18" s="47"/>
      <c r="H18" s="39"/>
      <c r="I18" s="8"/>
      <c r="J18" s="38"/>
      <c r="K18" s="47"/>
      <c r="L18" s="39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spans="1:52" ht="24" customHeight="1" x14ac:dyDescent="0.25">
      <c r="A19" s="8"/>
      <c r="B19" s="38"/>
      <c r="C19" s="47"/>
      <c r="D19" s="47"/>
      <c r="E19" s="47"/>
      <c r="F19" s="47"/>
      <c r="G19" s="47"/>
      <c r="H19" s="39"/>
      <c r="I19" s="8"/>
      <c r="J19" s="54"/>
      <c r="K19" s="55"/>
      <c r="L19" s="39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spans="1:52" ht="24" customHeight="1" x14ac:dyDescent="0.25">
      <c r="A20" s="8"/>
      <c r="B20" s="38"/>
      <c r="C20" s="47"/>
      <c r="D20" s="47"/>
      <c r="E20" s="47"/>
      <c r="F20" s="47"/>
      <c r="G20" s="47"/>
      <c r="H20" s="39"/>
      <c r="I20" s="8"/>
      <c r="J20" s="54"/>
      <c r="K20" s="55"/>
      <c r="L20" s="39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spans="1:52" ht="9.9499999999999993" customHeight="1" x14ac:dyDescent="0.25">
      <c r="A21" s="8"/>
      <c r="B21" s="40"/>
      <c r="C21" s="41"/>
      <c r="D21" s="41"/>
      <c r="E21" s="41"/>
      <c r="F21" s="41"/>
      <c r="G21" s="41"/>
      <c r="H21" s="42"/>
      <c r="I21" s="8"/>
      <c r="J21" s="40"/>
      <c r="K21" s="41"/>
      <c r="L21" s="42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spans="1:52" ht="14.1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spans="1:52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spans="1:52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spans="1:52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spans="1:52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spans="1:52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spans="1:52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spans="1:52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spans="1:52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spans="1:52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spans="1:52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spans="1:52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 spans="1:52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spans="1:52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spans="1:52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 spans="1:52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 spans="1:52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 spans="1:52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 spans="1:52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 spans="1:52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 spans="1:52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spans="1:52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 spans="1:52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spans="1:52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spans="1:52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 spans="1:52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 spans="1:52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 spans="1:52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spans="1:52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spans="1:52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spans="1:52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spans="1:52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spans="1:52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spans="1:52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spans="1:52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spans="1:52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spans="1:52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 spans="1:52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spans="1:52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 spans="1:52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spans="1:52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spans="1:52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 spans="1:52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spans="1:52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 spans="1:52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 spans="1:52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 spans="1:52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 spans="1:52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 spans="1:52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 spans="1:52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spans="1:52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spans="1:52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 spans="1:52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 spans="1:52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 spans="1:52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 spans="1:52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 spans="1:52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 spans="1:52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 spans="1:52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spans="1:52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spans="1:52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spans="1:52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spans="1:52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 spans="1:52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 spans="1:52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 spans="1:52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 spans="1:52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 spans="1:52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 spans="1:52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spans="1:52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spans="1:52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spans="1:52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 spans="1:52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spans="1:52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spans="1:52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 spans="1:52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 spans="1:52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spans="1:52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 spans="1:52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 spans="1:52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spans="1:52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spans="1:52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spans="1:52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spans="1:52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spans="1:52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spans="1:52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spans="1:52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spans="1:52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spans="1:52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spans="1:52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spans="1:52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spans="1:52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spans="1:52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spans="1:52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spans="1:52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spans="1:52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spans="1:52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spans="1:52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spans="1:52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spans="1:52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spans="1:52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spans="1:52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spans="1:52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spans="1:52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spans="1:52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spans="1:52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spans="1:52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spans="1:52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spans="1:52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spans="1:52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spans="1:52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spans="1:52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spans="1:52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spans="1:52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spans="1:52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spans="1:52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spans="1:52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spans="1:52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spans="1:52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spans="1:52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spans="1:52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spans="1:52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spans="1:52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spans="1:52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spans="1:52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spans="1:52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spans="1:52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spans="1:52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spans="1:52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</sheetData>
  <mergeCells count="1">
    <mergeCell ref="J19:K20"/>
  </mergeCells>
  <dataValidations count="4">
    <dataValidation type="list" allowBlank="1" showInputMessage="1" showErrorMessage="1" error="Escolha um item da lista." sqref="C7" xr:uid="{AE93EC9E-A6E4-474F-8684-5F036F0B94A4}">
      <formula1>ListaCategorias</formula1>
    </dataValidation>
    <dataValidation type="decimal" operator="greaterThan" allowBlank="1" showInputMessage="1" showErrorMessage="1" error="O valor deve ser maior que zero." sqref="C8" xr:uid="{BB0C742C-7BC7-4838-9C6E-28AC7D3C9F9D}">
      <formula1>0</formula1>
    </dataValidation>
    <dataValidation type="list" errorStyle="information" allowBlank="1" showInputMessage="1" error="Escolha um item da lista." sqref="G6" xr:uid="{B233DFF0-3723-42FC-BBDA-ACB3BBB574D4}">
      <formula1>ListaGrupos</formula1>
    </dataValidation>
    <dataValidation type="whole" allowBlank="1" showInputMessage="1" showErrorMessage="1" error="Informe o mês de 1 a 12." sqref="K6" xr:uid="{4860D28A-CB37-4E9D-BB9E-6BFD1889402A}">
      <formula1>1</formula1>
      <formula2>12</formula2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="Escolha um item da lista." xr:uid="{059C2AE3-30FB-4281-8B45-5EE8676C5DB9}">
          <x14:formula1>
            <xm:f>Calc!$H$1:$H$6</xm:f>
          </x14:formula1>
          <xm:sqref>C10</xm:sqref>
        </x14:dataValidation>
        <x14:dataValidation type="list" allowBlank="1" showInputMessage="1" showErrorMessage="1" error="Escolha um item da lista." xr:uid="{82E55466-D9FA-442A-A8AF-C825D3078670}">
          <x14:formula1>
            <xm:f>Calc!$I$1:$I$3</xm:f>
          </x14:formula1>
          <xm:sqref>C11</xm:sqref>
        </x14:dataValidation>
        <x14:dataValidation type="list" allowBlank="1" showInputMessage="1" showErrorMessage="1" error="Escolha um item da lista." xr:uid="{EBC4EE60-FC05-4460-9854-22B8A23D3A23}">
          <x14:formula1>
            <xm:f>Calc!$L$1:$L$2</xm:f>
          </x14:formula1>
          <xm:sqref>G9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FA8AB-259E-423E-9343-8B5B177D8A1B}">
  <sheetPr codeName="Planilha10">
    <tabColor rgb="FFC9A227"/>
  </sheetPr>
  <dimension ref="A1:AZ150"/>
  <sheetViews>
    <sheetView showGridLines="0" showRowColHeaders="0" workbookViewId="0">
      <selection activeCell="B12" sqref="B12"/>
    </sheetView>
  </sheetViews>
  <sheetFormatPr defaultRowHeight="14.25" x14ac:dyDescent="0.25"/>
  <cols>
    <col min="1" max="1" width="2.7109375" style="4" customWidth="1"/>
    <col min="2" max="2" width="13.7109375" style="4" customWidth="1"/>
    <col min="3" max="3" width="34.7109375" style="4" customWidth="1"/>
    <col min="4" max="4" width="9.7109375" style="4" customWidth="1"/>
    <col min="5" max="5" width="28.7109375" style="4" customWidth="1"/>
    <col min="6" max="7" width="13.7109375" style="4" customWidth="1"/>
    <col min="8" max="8" width="11.7109375" style="4" customWidth="1"/>
    <col min="9" max="9" width="12.7109375" style="4" customWidth="1"/>
    <col min="10" max="10" width="17.7109375" style="4" customWidth="1"/>
    <col min="11" max="16384" width="9.140625" style="4"/>
  </cols>
  <sheetData>
    <row r="1" spans="1:52" ht="44.1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 ht="30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spans="1:52" ht="9.9499999999999993" customHeight="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spans="1:52" ht="17.100000000000001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 spans="1:52" ht="17.100000000000001" customHeight="1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spans="1:52" ht="17.100000000000001" customHeight="1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spans="1:52" ht="17.100000000000001" customHeight="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spans="1:52" ht="15.95" customHeight="1" x14ac:dyDescent="0.25">
      <c r="A8" s="8"/>
      <c r="B8" s="14" t="s">
        <v>109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ht="26.1" customHeight="1" x14ac:dyDescent="0.25">
      <c r="A9" s="8"/>
      <c r="B9" s="16">
        <v>12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spans="1:52" ht="9.9499999999999993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spans="1:52" x14ac:dyDescent="0.25">
      <c r="B11" s="4" t="s">
        <v>202</v>
      </c>
      <c r="C11" s="4" t="s">
        <v>116</v>
      </c>
      <c r="D11" s="4" t="s">
        <v>6</v>
      </c>
      <c r="E11" s="4" t="s">
        <v>141</v>
      </c>
      <c r="F11" s="4" t="s">
        <v>117</v>
      </c>
      <c r="G11" s="4" t="s">
        <v>203</v>
      </c>
      <c r="H11" s="4" t="s">
        <v>204</v>
      </c>
      <c r="I11" s="4" t="s">
        <v>205</v>
      </c>
      <c r="J11" s="4" t="s">
        <v>180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spans="1:52" x14ac:dyDescent="0.25">
      <c r="B12" s="50"/>
      <c r="E12" s="4" t="str">
        <f>IF(tbContas[[#This Row],[Código]]="","",IFERROR(INDEX(tbCategorias[Subcategoria],MATCH(tbContas[[#This Row],[Código]],tbCategorias[Código],0)),"CÓDIGO INVÁLIDO"))</f>
        <v/>
      </c>
      <c r="F12" s="51"/>
      <c r="I12" s="50"/>
      <c r="J12" s="4" t="str">
        <f ca="1">IF(tbContas[[#This Row],[Descrição]]="","",IF(tbContas[[#This Row],[Status]]="Paga","Paga",IF(tbContas[[#This Row],[Vencimento]]&lt;TODAY(),"Vencida",IF(tbContas[[#This Row],[Vencimento]]-TODAY()&lt;=7,"Vence em 7 dias","A vencer"))))</f>
        <v/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spans="1:52" x14ac:dyDescent="0.25"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spans="1:52" x14ac:dyDescent="0.25"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52" x14ac:dyDescent="0.25"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spans="1:52" x14ac:dyDescent="0.25"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spans="12:52" x14ac:dyDescent="0.25"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spans="12:52" x14ac:dyDescent="0.25"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spans="12:52" x14ac:dyDescent="0.25"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spans="12:52" x14ac:dyDescent="0.25"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spans="12:52" x14ac:dyDescent="0.25"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spans="12:52" x14ac:dyDescent="0.25"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spans="12:52" x14ac:dyDescent="0.25"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spans="12:52" x14ac:dyDescent="0.25"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spans="12:52" x14ac:dyDescent="0.25"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spans="12:52" x14ac:dyDescent="0.25"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spans="12:52" x14ac:dyDescent="0.25"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spans="12:52" x14ac:dyDescent="0.25"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spans="12:52" x14ac:dyDescent="0.25"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spans="12:52" x14ac:dyDescent="0.25"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spans="12:52" x14ac:dyDescent="0.25"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spans="12:52" x14ac:dyDescent="0.25"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spans="12:52" x14ac:dyDescent="0.25"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 spans="12:52" x14ac:dyDescent="0.25"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spans="12:52" x14ac:dyDescent="0.25"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spans="12:52" x14ac:dyDescent="0.25"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 spans="12:52" x14ac:dyDescent="0.25"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 spans="12:52" x14ac:dyDescent="0.25"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 spans="12:52" x14ac:dyDescent="0.25"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 spans="12:52" x14ac:dyDescent="0.25"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 spans="12:52" x14ac:dyDescent="0.25"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 spans="12:52" x14ac:dyDescent="0.25"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spans="12:52" x14ac:dyDescent="0.25"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 spans="12:52" x14ac:dyDescent="0.25"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spans="12:52" x14ac:dyDescent="0.25"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spans="12:52" x14ac:dyDescent="0.25"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 spans="12:52" x14ac:dyDescent="0.25"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 spans="12:52" x14ac:dyDescent="0.25"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 spans="12:52" x14ac:dyDescent="0.25"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spans="12:52" x14ac:dyDescent="0.25"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spans="12:52" x14ac:dyDescent="0.25"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spans="12:52" x14ac:dyDescent="0.25"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spans="12:52" x14ac:dyDescent="0.25"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spans="12:52" x14ac:dyDescent="0.25"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spans="12:52" x14ac:dyDescent="0.25"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spans="12:52" x14ac:dyDescent="0.25"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spans="12:52" x14ac:dyDescent="0.25"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spans="12:52" x14ac:dyDescent="0.25"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 spans="12:52" x14ac:dyDescent="0.25"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spans="12:52" x14ac:dyDescent="0.25"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 spans="12:52" x14ac:dyDescent="0.25"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spans="12:52" x14ac:dyDescent="0.25"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spans="12:52" x14ac:dyDescent="0.25"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 spans="12:52" x14ac:dyDescent="0.25"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spans="12:52" x14ac:dyDescent="0.25"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 spans="12:52" x14ac:dyDescent="0.25"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 spans="12:52" x14ac:dyDescent="0.25"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 spans="12:52" x14ac:dyDescent="0.25"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 spans="12:52" x14ac:dyDescent="0.25"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 spans="12:52" x14ac:dyDescent="0.25"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 spans="12:52" x14ac:dyDescent="0.25"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spans="12:52" x14ac:dyDescent="0.25"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spans="12:52" x14ac:dyDescent="0.25"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 spans="12:52" x14ac:dyDescent="0.25"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 spans="12:52" x14ac:dyDescent="0.25"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 spans="12:52" x14ac:dyDescent="0.25"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 spans="12:52" x14ac:dyDescent="0.25"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 spans="12:52" x14ac:dyDescent="0.25"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 spans="12:52" x14ac:dyDescent="0.25"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 spans="12:52" x14ac:dyDescent="0.25"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spans="12:52" x14ac:dyDescent="0.25"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spans="12:52" x14ac:dyDescent="0.25"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spans="12:52" x14ac:dyDescent="0.25"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spans="12:52" x14ac:dyDescent="0.25"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 spans="12:52" x14ac:dyDescent="0.25"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 spans="12:52" x14ac:dyDescent="0.25"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 spans="12:52" x14ac:dyDescent="0.25"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 spans="12:52" x14ac:dyDescent="0.25"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 spans="12:52" x14ac:dyDescent="0.25"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 spans="12:52" x14ac:dyDescent="0.25"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spans="12:52" x14ac:dyDescent="0.25"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spans="12:52" x14ac:dyDescent="0.25"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spans="12:52" x14ac:dyDescent="0.25"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 spans="12:52" x14ac:dyDescent="0.25"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spans="12:52" x14ac:dyDescent="0.25"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spans="12:52" x14ac:dyDescent="0.25"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 spans="12:52" x14ac:dyDescent="0.25"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 spans="12:52" x14ac:dyDescent="0.25"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spans="12:52" x14ac:dyDescent="0.25"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 spans="12:52" x14ac:dyDescent="0.25"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 spans="12:52" x14ac:dyDescent="0.25"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spans="12:52" x14ac:dyDescent="0.25"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spans="12:52" x14ac:dyDescent="0.25"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spans="12:52" x14ac:dyDescent="0.25"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spans="12:52" x14ac:dyDescent="0.25"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spans="12:52" x14ac:dyDescent="0.25"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spans="12:52" x14ac:dyDescent="0.25"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spans="12:52" x14ac:dyDescent="0.25"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spans="12:52" x14ac:dyDescent="0.25"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spans="12:52" x14ac:dyDescent="0.25"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spans="12:52" x14ac:dyDescent="0.25"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spans="12:52" x14ac:dyDescent="0.25"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spans="12:52" x14ac:dyDescent="0.25"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spans="12:52" x14ac:dyDescent="0.25"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spans="12:52" x14ac:dyDescent="0.25"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spans="12:52" x14ac:dyDescent="0.25"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spans="12:52" x14ac:dyDescent="0.25"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spans="12:52" x14ac:dyDescent="0.25"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spans="12:52" x14ac:dyDescent="0.25"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spans="12:52" x14ac:dyDescent="0.25"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spans="12:52" x14ac:dyDescent="0.25"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spans="12:52" x14ac:dyDescent="0.25"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spans="12:52" x14ac:dyDescent="0.25"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spans="12:52" x14ac:dyDescent="0.25"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spans="12:52" x14ac:dyDescent="0.25"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spans="12:52" x14ac:dyDescent="0.25"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spans="12:52" x14ac:dyDescent="0.25"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spans="12:52" x14ac:dyDescent="0.25"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spans="12:52" x14ac:dyDescent="0.25"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spans="12:52" x14ac:dyDescent="0.25"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spans="12:52" x14ac:dyDescent="0.25"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spans="12:52" x14ac:dyDescent="0.25"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spans="12:52" x14ac:dyDescent="0.25"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spans="12:52" x14ac:dyDescent="0.25"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spans="12:52" x14ac:dyDescent="0.25"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spans="12:52" x14ac:dyDescent="0.25"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spans="12:52" x14ac:dyDescent="0.25"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spans="12:52" x14ac:dyDescent="0.25"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spans="12:52" x14ac:dyDescent="0.25"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spans="12:52" x14ac:dyDescent="0.25"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spans="12:52" x14ac:dyDescent="0.25"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spans="12:52" x14ac:dyDescent="0.25"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spans="12:52" x14ac:dyDescent="0.25"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spans="12:52" x14ac:dyDescent="0.25"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spans="12:52" x14ac:dyDescent="0.25"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spans="12:52" x14ac:dyDescent="0.25"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spans="12:52" x14ac:dyDescent="0.25"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spans="12:52" x14ac:dyDescent="0.25"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spans="12:52" x14ac:dyDescent="0.25"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spans="12:52" x14ac:dyDescent="0.25"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</sheetData>
  <conditionalFormatting sqref="J12">
    <cfRule type="cellIs" dxfId="63" priority="1" stopIfTrue="1" operator="equal">
      <formula>"Vencida"</formula>
    </cfRule>
    <cfRule type="cellIs" dxfId="62" priority="2" stopIfTrue="1" operator="equal">
      <formula>"Vence em 7 dias"</formula>
    </cfRule>
    <cfRule type="cellIs" dxfId="61" priority="3" stopIfTrue="1" operator="equal">
      <formula>"Paga"</formula>
    </cfRule>
  </conditionalFormatting>
  <dataValidations count="2">
    <dataValidation type="list" allowBlank="1" showInputMessage="1" showErrorMessage="1" sqref="D12" xr:uid="{4B8D1117-14BC-4B82-8681-4732C7D7D613}">
      <formula1>INDIRECT("tbCategorias[Código]")</formula1>
    </dataValidation>
    <dataValidation type="whole" allowBlank="1" showInputMessage="1" showErrorMessage="1" sqref="B9" xr:uid="{0B8FE3D1-E8A0-47E0-8774-DED0996473E8}">
      <formula1>1</formula1>
      <formula2>12</formula2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2A6CB4B-76F4-4AF3-83CB-19715D947400}">
          <x14:formula1>
            <xm:f>Calc!$J$1:$J$2</xm:f>
          </x14:formula1>
          <xm:sqref>H12</xm:sqref>
        </x14:dataValidation>
        <x14:dataValidation type="list" allowBlank="1" showInputMessage="1" showErrorMessage="1" xr:uid="{DB6A931D-21D6-4B85-9CE3-4561F5B9B5BB}">
          <x14:formula1>
            <xm:f>Calc!$K$1:$K$2</xm:f>
          </x14:formula1>
          <xm:sqref>G12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AB902-AF3D-4437-9359-DB572C0C4277}">
  <sheetPr codeName="Planilha11">
    <tabColor rgb="FFC9A227"/>
  </sheetPr>
  <dimension ref="A1:AZ150"/>
  <sheetViews>
    <sheetView showGridLines="0" showRowColHeaders="0" workbookViewId="0">
      <selection activeCell="B9" sqref="B9"/>
    </sheetView>
  </sheetViews>
  <sheetFormatPr defaultRowHeight="14.25" x14ac:dyDescent="0.25"/>
  <cols>
    <col min="1" max="1" width="2.7109375" style="4" customWidth="1"/>
    <col min="2" max="2" width="30.7109375" style="4" customWidth="1"/>
    <col min="3" max="3" width="9.7109375" style="4" customWidth="1"/>
    <col min="4" max="4" width="14.7109375" style="4" customWidth="1"/>
    <col min="5" max="5" width="12.7109375" style="4" customWidth="1"/>
    <col min="6" max="6" width="14.7109375" style="4" customWidth="1"/>
    <col min="7" max="7" width="13.7109375" style="4" customWidth="1"/>
    <col min="8" max="8" width="14.7109375" style="4" customWidth="1"/>
    <col min="9" max="10" width="15.7109375" style="4" customWidth="1"/>
    <col min="11" max="16384" width="9.140625" style="4"/>
  </cols>
  <sheetData>
    <row r="1" spans="1:52" ht="44.1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 ht="30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spans="1:52" ht="9.9499999999999993" customHeight="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spans="1:52" ht="17.100000000000001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 spans="1:52" ht="17.100000000000001" customHeight="1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spans="1:52" ht="17.100000000000001" customHeight="1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spans="1:52" ht="17.100000000000001" customHeight="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spans="1:52" ht="15.95" customHeight="1" x14ac:dyDescent="0.25">
      <c r="A8" s="8"/>
      <c r="B8" s="14" t="s">
        <v>206</v>
      </c>
      <c r="C8" s="8"/>
      <c r="D8" s="14" t="s">
        <v>234</v>
      </c>
      <c r="E8" s="14" t="s">
        <v>115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ht="26.1" customHeight="1" x14ac:dyDescent="0.25">
      <c r="A9" s="8"/>
      <c r="B9" s="15"/>
      <c r="C9" s="8"/>
      <c r="D9" s="17"/>
      <c r="E9" s="53">
        <v>46022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spans="1:52" ht="9.9499999999999993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spans="1:52" x14ac:dyDescent="0.25">
      <c r="B11" s="4" t="s">
        <v>206</v>
      </c>
      <c r="C11" s="4" t="s">
        <v>6</v>
      </c>
      <c r="D11" s="4" t="s">
        <v>207</v>
      </c>
      <c r="E11" s="4" t="s">
        <v>208</v>
      </c>
      <c r="F11" s="4" t="s">
        <v>209</v>
      </c>
      <c r="G11" s="4" t="s">
        <v>210</v>
      </c>
      <c r="H11" s="4" t="s">
        <v>211</v>
      </c>
      <c r="I11" s="4" t="s">
        <v>212</v>
      </c>
      <c r="J11" s="4" t="s">
        <v>180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spans="1:52" x14ac:dyDescent="0.25">
      <c r="B12" s="4" t="s">
        <v>23</v>
      </c>
      <c r="C12" s="4">
        <v>1</v>
      </c>
      <c r="D12" s="51">
        <v>1800</v>
      </c>
      <c r="E12" s="50">
        <v>46022</v>
      </c>
      <c r="F12" s="51">
        <f>IF(tbMetas[[#This Row],[Código]]="",0,SUMIFS(tbLancamentos[Valor],tbLancamentos[Código],tbMetas[[#This Row],[Código]]))</f>
        <v>0</v>
      </c>
      <c r="G12" s="52">
        <f>IFERROR(MIN(1,tbMetas[[#This Row],[Acumulado]]/tbMetas[[#This Row],[Alvo]]),0)</f>
        <v>0</v>
      </c>
      <c r="H12" s="51">
        <f>MAX(0,N(tbMetas[[#This Row],[Alvo]])-tbMetas[[#This Row],[Acumulado]])</f>
        <v>1800</v>
      </c>
      <c r="I12" s="51">
        <f ca="1">IF(tbMetas[[#This Row],[Meta]]="",0,IF(tbMetas[[#This Row],[Prazo]]&lt;=TODAY(),tbMetas[[#This Row],[Falta]],tbMetas[[#This Row],[Falta]]/(DATEDIF(TODAY(),tbMetas[[#This Row],[Prazo]],"m")+1)))</f>
        <v>1800</v>
      </c>
      <c r="J12" s="4" t="str">
        <f ca="1">IF(tbMetas[[#This Row],[Meta]]="","",IF(tbMetas[[#This Row],[Acumulado]]&gt;=tbMetas[[#This Row],[Alvo]],"Concluída",IF(tbMetas[[#This Row],[Prazo]]&lt;TODAY(),"Atrasada","Em andamento")))</f>
        <v>Atrasada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spans="1:52" x14ac:dyDescent="0.25">
      <c r="B13" s="4" t="s">
        <v>26</v>
      </c>
      <c r="C13" s="4">
        <v>5</v>
      </c>
      <c r="D13" s="51">
        <v>1440</v>
      </c>
      <c r="E13" s="50">
        <v>46022</v>
      </c>
      <c r="F13" s="51">
        <f>IF(tbMetas[[#This Row],[Código]]="",0,SUMIFS(tbLancamentos[Valor],tbLancamentos[Código],tbMetas[[#This Row],[Código]]))</f>
        <v>0</v>
      </c>
      <c r="G13" s="52">
        <f>IFERROR(MIN(1,tbMetas[[#This Row],[Acumulado]]/tbMetas[[#This Row],[Alvo]]),0)</f>
        <v>0</v>
      </c>
      <c r="H13" s="51">
        <f>MAX(0,N(tbMetas[[#This Row],[Alvo]])-tbMetas[[#This Row],[Acumulado]])</f>
        <v>1440</v>
      </c>
      <c r="I13" s="51">
        <f ca="1">IF(tbMetas[[#This Row],[Meta]]="",0,IF(tbMetas[[#This Row],[Prazo]]&lt;=TODAY(),tbMetas[[#This Row],[Falta]],tbMetas[[#This Row],[Falta]]/(DATEDIF(TODAY(),tbMetas[[#This Row],[Prazo]],"m")+1)))</f>
        <v>1440</v>
      </c>
      <c r="J13" s="4" t="str">
        <f ca="1">IF(tbMetas[[#This Row],[Meta]]="","",IF(tbMetas[[#This Row],[Acumulado]]&gt;=tbMetas[[#This Row],[Alvo]],"Concluída",IF(tbMetas[[#This Row],[Prazo]]&lt;TODAY(),"Atrasada","Em andamento")))</f>
        <v>Atrasada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spans="1:52" x14ac:dyDescent="0.25">
      <c r="B14" s="4" t="s">
        <v>92</v>
      </c>
      <c r="C14" s="4">
        <v>34</v>
      </c>
      <c r="D14" s="51">
        <v>14400</v>
      </c>
      <c r="E14" s="50">
        <v>46022</v>
      </c>
      <c r="F14" s="51">
        <f>IF(tbMetas[[#This Row],[Código]]="",0,SUMIFS(tbLancamentos[Valor],tbLancamentos[Código],tbMetas[[#This Row],[Código]]))</f>
        <v>0</v>
      </c>
      <c r="G14" s="52">
        <f>IFERROR(MIN(1,tbMetas[[#This Row],[Acumulado]]/tbMetas[[#This Row],[Alvo]]),0)</f>
        <v>0</v>
      </c>
      <c r="H14" s="51">
        <f>MAX(0,N(tbMetas[[#This Row],[Alvo]])-tbMetas[[#This Row],[Acumulado]])</f>
        <v>14400</v>
      </c>
      <c r="I14" s="51">
        <f ca="1">IF(tbMetas[[#This Row],[Meta]]="",0,IF(tbMetas[[#This Row],[Prazo]]&lt;=TODAY(),tbMetas[[#This Row],[Falta]],tbMetas[[#This Row],[Falta]]/(DATEDIF(TODAY(),tbMetas[[#This Row],[Prazo]],"m")+1)))</f>
        <v>14400</v>
      </c>
      <c r="J14" s="4" t="str">
        <f ca="1">IF(tbMetas[[#This Row],[Meta]]="","",IF(tbMetas[[#This Row],[Acumulado]]&gt;=tbMetas[[#This Row],[Alvo]],"Concluída",IF(tbMetas[[#This Row],[Prazo]]&lt;TODAY(),"Atrasada","Em andamento")))</f>
        <v>Atrasada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52" x14ac:dyDescent="0.25">
      <c r="B15" s="4" t="s">
        <v>93</v>
      </c>
      <c r="C15" s="4">
        <v>35</v>
      </c>
      <c r="D15" s="51">
        <v>14400</v>
      </c>
      <c r="E15" s="50">
        <v>46022</v>
      </c>
      <c r="F15" s="51">
        <f>IF(tbMetas[[#This Row],[Código]]="",0,SUMIFS(tbLancamentos[Valor],tbLancamentos[Código],tbMetas[[#This Row],[Código]]))</f>
        <v>0</v>
      </c>
      <c r="G15" s="52">
        <f>IFERROR(MIN(1,tbMetas[[#This Row],[Acumulado]]/tbMetas[[#This Row],[Alvo]]),0)</f>
        <v>0</v>
      </c>
      <c r="H15" s="51">
        <f>MAX(0,N(tbMetas[[#This Row],[Alvo]])-tbMetas[[#This Row],[Acumulado]])</f>
        <v>14400</v>
      </c>
      <c r="I15" s="51">
        <f ca="1">IF(tbMetas[[#This Row],[Meta]]="",0,IF(tbMetas[[#This Row],[Prazo]]&lt;=TODAY(),tbMetas[[#This Row],[Falta]],tbMetas[[#This Row],[Falta]]/(DATEDIF(TODAY(),tbMetas[[#This Row],[Prazo]],"m")+1)))</f>
        <v>14400</v>
      </c>
      <c r="J15" s="4" t="str">
        <f ca="1">IF(tbMetas[[#This Row],[Meta]]="","",IF(tbMetas[[#This Row],[Acumulado]]&gt;=tbMetas[[#This Row],[Alvo]],"Concluída",IF(tbMetas[[#This Row],[Prazo]]&lt;TODAY(),"Atrasada","Em andamento")))</f>
        <v>Atrasada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spans="1:52" x14ac:dyDescent="0.25">
      <c r="B16" s="4" t="s">
        <v>94</v>
      </c>
      <c r="C16" s="4">
        <v>36</v>
      </c>
      <c r="D16" s="51">
        <v>14400</v>
      </c>
      <c r="E16" s="50">
        <v>46022</v>
      </c>
      <c r="F16" s="51">
        <f>IF(tbMetas[[#This Row],[Código]]="",0,SUMIFS(tbLancamentos[Valor],tbLancamentos[Código],tbMetas[[#This Row],[Código]]))</f>
        <v>0</v>
      </c>
      <c r="G16" s="52">
        <f>IFERROR(MIN(1,tbMetas[[#This Row],[Acumulado]]/tbMetas[[#This Row],[Alvo]]),0)</f>
        <v>0</v>
      </c>
      <c r="H16" s="51">
        <f>MAX(0,N(tbMetas[[#This Row],[Alvo]])-tbMetas[[#This Row],[Acumulado]])</f>
        <v>14400</v>
      </c>
      <c r="I16" s="51">
        <f ca="1">IF(tbMetas[[#This Row],[Meta]]="",0,IF(tbMetas[[#This Row],[Prazo]]&lt;=TODAY(),tbMetas[[#This Row],[Falta]],tbMetas[[#This Row],[Falta]]/(DATEDIF(TODAY(),tbMetas[[#This Row],[Prazo]],"m")+1)))</f>
        <v>14400</v>
      </c>
      <c r="J16" s="4" t="str">
        <f ca="1">IF(tbMetas[[#This Row],[Meta]]="","",IF(tbMetas[[#This Row],[Acumulado]]&gt;=tbMetas[[#This Row],[Alvo]],"Concluída",IF(tbMetas[[#This Row],[Prazo]]&lt;TODAY(),"Atrasada","Em andamento")))</f>
        <v>Atrasada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spans="2:52" x14ac:dyDescent="0.25">
      <c r="B17" s="4" t="s">
        <v>95</v>
      </c>
      <c r="C17" s="4">
        <v>37</v>
      </c>
      <c r="D17" s="51">
        <v>14400</v>
      </c>
      <c r="E17" s="50">
        <v>46022</v>
      </c>
      <c r="F17" s="51">
        <f>IF(tbMetas[[#This Row],[Código]]="",0,SUMIFS(tbLancamentos[Valor],tbLancamentos[Código],tbMetas[[#This Row],[Código]]))</f>
        <v>0</v>
      </c>
      <c r="G17" s="52">
        <f>IFERROR(MIN(1,tbMetas[[#This Row],[Acumulado]]/tbMetas[[#This Row],[Alvo]]),0)</f>
        <v>0</v>
      </c>
      <c r="H17" s="51">
        <f>MAX(0,N(tbMetas[[#This Row],[Alvo]])-tbMetas[[#This Row],[Acumulado]])</f>
        <v>14400</v>
      </c>
      <c r="I17" s="51">
        <f ca="1">IF(tbMetas[[#This Row],[Meta]]="",0,IF(tbMetas[[#This Row],[Prazo]]&lt;=TODAY(),tbMetas[[#This Row],[Falta]],tbMetas[[#This Row],[Falta]]/(DATEDIF(TODAY(),tbMetas[[#This Row],[Prazo]],"m")+1)))</f>
        <v>14400</v>
      </c>
      <c r="J17" s="4" t="str">
        <f ca="1">IF(tbMetas[[#This Row],[Meta]]="","",IF(tbMetas[[#This Row],[Acumulado]]&gt;=tbMetas[[#This Row],[Alvo]],"Concluída",IF(tbMetas[[#This Row],[Prazo]]&lt;TODAY(),"Atrasada","Em andamento")))</f>
        <v>Atrasada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spans="2:52" x14ac:dyDescent="0.25"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spans="2:52" x14ac:dyDescent="0.25"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spans="2:52" x14ac:dyDescent="0.25"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spans="2:52" x14ac:dyDescent="0.25"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spans="2:52" x14ac:dyDescent="0.25"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spans="2:52" x14ac:dyDescent="0.25"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spans="2:52" x14ac:dyDescent="0.25"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spans="2:52" x14ac:dyDescent="0.25"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spans="2:52" x14ac:dyDescent="0.25"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spans="2:52" x14ac:dyDescent="0.25"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spans="2:52" x14ac:dyDescent="0.25"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spans="2:52" x14ac:dyDescent="0.25"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spans="2:52" x14ac:dyDescent="0.25"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spans="2:52" x14ac:dyDescent="0.25"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spans="2:52" x14ac:dyDescent="0.25"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spans="12:52" x14ac:dyDescent="0.25"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 spans="12:52" x14ac:dyDescent="0.25"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spans="12:52" x14ac:dyDescent="0.25"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spans="12:52" x14ac:dyDescent="0.25"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 spans="12:52" x14ac:dyDescent="0.25"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 spans="12:52" x14ac:dyDescent="0.25"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 spans="12:52" x14ac:dyDescent="0.25"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 spans="12:52" x14ac:dyDescent="0.25"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 spans="12:52" x14ac:dyDescent="0.25"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 spans="12:52" x14ac:dyDescent="0.25"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spans="12:52" x14ac:dyDescent="0.25"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 spans="12:52" x14ac:dyDescent="0.25"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spans="12:52" x14ac:dyDescent="0.25"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spans="12:52" x14ac:dyDescent="0.25"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 spans="12:52" x14ac:dyDescent="0.25"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 spans="12:52" x14ac:dyDescent="0.25"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 spans="12:52" x14ac:dyDescent="0.25"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spans="12:52" x14ac:dyDescent="0.25"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spans="12:52" x14ac:dyDescent="0.25"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spans="12:52" x14ac:dyDescent="0.25"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spans="12:52" x14ac:dyDescent="0.25"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spans="12:52" x14ac:dyDescent="0.25"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spans="12:52" x14ac:dyDescent="0.25"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spans="12:52" x14ac:dyDescent="0.25"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spans="12:52" x14ac:dyDescent="0.25"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spans="12:52" x14ac:dyDescent="0.25"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 spans="12:52" x14ac:dyDescent="0.25"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spans="12:52" x14ac:dyDescent="0.25"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 spans="12:52" x14ac:dyDescent="0.25"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spans="12:52" x14ac:dyDescent="0.25"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spans="12:52" x14ac:dyDescent="0.25"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 spans="12:52" x14ac:dyDescent="0.25"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spans="12:52" x14ac:dyDescent="0.25"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 spans="12:52" x14ac:dyDescent="0.25"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 spans="12:52" x14ac:dyDescent="0.25"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 spans="12:52" x14ac:dyDescent="0.25"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 spans="12:52" x14ac:dyDescent="0.25"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 spans="12:52" x14ac:dyDescent="0.25"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 spans="12:52" x14ac:dyDescent="0.25"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spans="12:52" x14ac:dyDescent="0.25"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spans="12:52" x14ac:dyDescent="0.25"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 spans="12:52" x14ac:dyDescent="0.25"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 spans="12:52" x14ac:dyDescent="0.25"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 spans="12:52" x14ac:dyDescent="0.25"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 spans="12:52" x14ac:dyDescent="0.25"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 spans="12:52" x14ac:dyDescent="0.25"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 spans="12:52" x14ac:dyDescent="0.25"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 spans="12:52" x14ac:dyDescent="0.25"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spans="12:52" x14ac:dyDescent="0.25"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spans="12:52" x14ac:dyDescent="0.25"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spans="12:52" x14ac:dyDescent="0.25"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spans="12:52" x14ac:dyDescent="0.25"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 spans="12:52" x14ac:dyDescent="0.25"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 spans="12:52" x14ac:dyDescent="0.25"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 spans="12:52" x14ac:dyDescent="0.25"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 spans="12:52" x14ac:dyDescent="0.25"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 spans="12:52" x14ac:dyDescent="0.25"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 spans="12:52" x14ac:dyDescent="0.25"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spans="12:52" x14ac:dyDescent="0.25"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spans="12:52" x14ac:dyDescent="0.25"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spans="12:52" x14ac:dyDescent="0.25"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 spans="12:52" x14ac:dyDescent="0.25"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spans="12:52" x14ac:dyDescent="0.25"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spans="12:52" x14ac:dyDescent="0.25"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 spans="12:52" x14ac:dyDescent="0.25"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 spans="12:52" x14ac:dyDescent="0.25"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spans="12:52" x14ac:dyDescent="0.25"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 spans="12:52" x14ac:dyDescent="0.25"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 spans="12:52" x14ac:dyDescent="0.25"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spans="12:52" x14ac:dyDescent="0.25"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spans="12:52" x14ac:dyDescent="0.25"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spans="12:52" x14ac:dyDescent="0.25"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spans="12:52" x14ac:dyDescent="0.25"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spans="12:52" x14ac:dyDescent="0.25"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spans="12:52" x14ac:dyDescent="0.25"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spans="12:52" x14ac:dyDescent="0.25"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spans="12:52" x14ac:dyDescent="0.25"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spans="12:52" x14ac:dyDescent="0.25"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spans="12:52" x14ac:dyDescent="0.25"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spans="12:52" x14ac:dyDescent="0.25"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spans="12:52" x14ac:dyDescent="0.25"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spans="12:52" x14ac:dyDescent="0.25"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spans="12:52" x14ac:dyDescent="0.25"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spans="12:52" x14ac:dyDescent="0.25"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spans="12:52" x14ac:dyDescent="0.25"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spans="12:52" x14ac:dyDescent="0.25"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spans="12:52" x14ac:dyDescent="0.25"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spans="12:52" x14ac:dyDescent="0.25"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spans="12:52" x14ac:dyDescent="0.25"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spans="12:52" x14ac:dyDescent="0.25"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spans="12:52" x14ac:dyDescent="0.25"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spans="12:52" x14ac:dyDescent="0.25"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spans="12:52" x14ac:dyDescent="0.25"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spans="12:52" x14ac:dyDescent="0.25"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spans="12:52" x14ac:dyDescent="0.25"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spans="12:52" x14ac:dyDescent="0.25"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spans="12:52" x14ac:dyDescent="0.25"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spans="12:52" x14ac:dyDescent="0.25"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spans="12:52" x14ac:dyDescent="0.25"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spans="12:52" x14ac:dyDescent="0.25"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spans="12:52" x14ac:dyDescent="0.25"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spans="12:52" x14ac:dyDescent="0.25"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spans="12:52" x14ac:dyDescent="0.25"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spans="12:52" x14ac:dyDescent="0.25"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spans="12:52" x14ac:dyDescent="0.25"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spans="12:52" x14ac:dyDescent="0.25"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spans="12:52" x14ac:dyDescent="0.25"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spans="12:52" x14ac:dyDescent="0.25"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spans="12:52" x14ac:dyDescent="0.25"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spans="12:52" x14ac:dyDescent="0.25"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spans="12:52" x14ac:dyDescent="0.25"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spans="12:52" x14ac:dyDescent="0.25"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spans="12:52" x14ac:dyDescent="0.25"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spans="12:52" x14ac:dyDescent="0.25"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spans="12:52" x14ac:dyDescent="0.25"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spans="12:52" x14ac:dyDescent="0.25"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spans="12:52" x14ac:dyDescent="0.25"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spans="12:52" x14ac:dyDescent="0.25"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</sheetData>
  <conditionalFormatting sqref="G12:G17">
    <cfRule type="dataBar" priority="13">
      <dataBar>
        <cfvo type="num" val="0"/>
        <cfvo type="num" val="1"/>
        <color rgb="FF11917F"/>
      </dataBar>
      <extLst>
        <ext xmlns:x14="http://schemas.microsoft.com/office/spreadsheetml/2009/9/main" uri="{B025F937-C7B1-47D3-B67F-A62EFF666E3E}">
          <x14:id>{DF32DE09-AC37-4691-B565-86D858B11AEB}</x14:id>
        </ext>
      </extLst>
    </cfRule>
  </conditionalFormatting>
  <conditionalFormatting sqref="J12:J17">
    <cfRule type="cellIs" dxfId="49" priority="14" stopIfTrue="1" operator="equal">
      <formula>"Atrasada"</formula>
    </cfRule>
    <cfRule type="cellIs" dxfId="48" priority="15" stopIfTrue="1" operator="equal">
      <formula>"Concluída"</formula>
    </cfRule>
  </conditionalFormatting>
  <dataValidations count="2">
    <dataValidation type="list" allowBlank="1" showInputMessage="1" showErrorMessage="1" sqref="C12:C17" xr:uid="{67C4D754-756B-4A46-9D2E-0FD38DDA5FF2}">
      <formula1>INDIRECT("tbCategorias[Código]")</formula1>
    </dataValidation>
    <dataValidation type="list" allowBlank="1" showInputMessage="1" showErrorMessage="1" sqref="B9" xr:uid="{86E4EB1B-00F7-4982-9555-515AE716F06A}">
      <formula1>ListaMetas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32DE09-AC37-4691-B565-86D858B11AEB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G12:G17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K208"/>
  <sheetViews>
    <sheetView showGridLines="0" showRowColHeaders="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12" style="7" customWidth="1"/>
    <col min="2" max="2" width="6" style="7" customWidth="1"/>
    <col min="3" max="3" width="8" style="7" customWidth="1"/>
    <col min="4" max="4" width="18" style="7" customWidth="1"/>
    <col min="5" max="5" width="28" style="7" customWidth="1"/>
    <col min="6" max="6" width="34" style="7" customWidth="1"/>
    <col min="7" max="9" width="13" style="7" customWidth="1"/>
    <col min="10" max="10" width="10" style="7" customWidth="1"/>
    <col min="11" max="11" width="10.7109375" style="7" customWidth="1"/>
    <col min="12" max="16384" width="9.140625" style="7"/>
  </cols>
  <sheetData>
    <row r="1" spans="1:11" ht="44.1" customHeight="1" x14ac:dyDescent="0.45">
      <c r="A1" s="5"/>
    </row>
    <row r="2" spans="1:11" ht="30" customHeight="1" x14ac:dyDescent="0.3">
      <c r="A2" s="18"/>
    </row>
    <row r="3" spans="1:11" ht="33.950000000000003" customHeight="1" x14ac:dyDescent="0.3"/>
    <row r="4" spans="1:11" x14ac:dyDescent="0.3">
      <c r="A4" s="19" t="s">
        <v>115</v>
      </c>
      <c r="B4" s="19" t="s">
        <v>109</v>
      </c>
      <c r="C4" s="19" t="s">
        <v>6</v>
      </c>
      <c r="D4" s="19" t="s">
        <v>21</v>
      </c>
      <c r="E4" s="19" t="s">
        <v>7</v>
      </c>
      <c r="F4" s="19" t="s">
        <v>116</v>
      </c>
      <c r="G4" s="19" t="s">
        <v>117</v>
      </c>
      <c r="H4" s="19" t="s">
        <v>118</v>
      </c>
      <c r="I4" s="19" t="s">
        <v>119</v>
      </c>
      <c r="J4" s="19" t="s">
        <v>120</v>
      </c>
      <c r="K4" s="20" t="s">
        <v>139</v>
      </c>
    </row>
    <row r="5" spans="1:11" x14ac:dyDescent="0.3">
      <c r="A5" s="21">
        <v>45658</v>
      </c>
      <c r="B5" s="22">
        <f>IF(tbLancamentos[[#This Row],[Data]]="","",MONTH(tbLancamentos[[#This Row],[Data]]))</f>
        <v>1</v>
      </c>
      <c r="C5" s="23">
        <v>6</v>
      </c>
      <c r="D5" s="22" t="str">
        <f>IF(tbLancamentos[[#This Row],[Código]]="","",IFERROR(INDEX(tbCategorias[Grupo],MATCH(tbLancamentos[[#This Row],[Código]],tbCategorias[Código],0)),"CÓDIGO INVÁLIDO"))</f>
        <v>Moradia</v>
      </c>
      <c r="E5" s="22" t="str">
        <f>IF(tbLancamentos[[#This Row],[Código]]="","",IFERROR(INDEX(tbCategorias[Subcategoria],MATCH(tbLancamentos[[#This Row],[Código]],tbCategorias[Código],0)),"CÓDIGO INVÁLIDO"))</f>
        <v>Energia</v>
      </c>
      <c r="F5" s="23" t="s">
        <v>121</v>
      </c>
      <c r="G5" s="24">
        <v>150</v>
      </c>
      <c r="H5" s="23"/>
      <c r="I5" s="23"/>
      <c r="J5" s="23" t="s">
        <v>122</v>
      </c>
      <c r="K5" s="23" t="str">
        <f>IF(tbLancamentos[[#This Row],[Data]]="","",TEXT(tbLancamentos[[#This Row],[Mês]],"00")&amp;"-"&amp;CHOOSE(tbLancamentos[[#This Row],[Mês]],"JAN","FEV","MAR","ABR","MAI","JUN","JUL","AGO","SET","OUT","NOV","DEZ"))</f>
        <v>01-JAN</v>
      </c>
    </row>
    <row r="6" spans="1:11" x14ac:dyDescent="0.3">
      <c r="A6" s="21">
        <v>45658</v>
      </c>
      <c r="B6" s="22">
        <f>IF(tbLancamentos[[#This Row],[Data]]="","",MONTH(tbLancamentos[[#This Row],[Data]]))</f>
        <v>1</v>
      </c>
      <c r="C6" s="23">
        <v>7</v>
      </c>
      <c r="D6" s="22" t="str">
        <f>IF(tbLancamentos[[#This Row],[Código]]="","",IFERROR(INDEX(tbCategorias[Grupo],MATCH(tbLancamentos[[#This Row],[Código]],tbCategorias[Código],0)),"CÓDIGO INVÁLIDO"))</f>
        <v>Moradia</v>
      </c>
      <c r="E6" s="22" t="str">
        <f>IF(tbLancamentos[[#This Row],[Código]]="","",IFERROR(INDEX(tbCategorias[Subcategoria],MATCH(tbLancamentos[[#This Row],[Código]],tbCategorias[Código],0)),"CÓDIGO INVÁLIDO"))</f>
        <v>Água</v>
      </c>
      <c r="F6" s="23" t="s">
        <v>123</v>
      </c>
      <c r="G6" s="24">
        <v>77</v>
      </c>
      <c r="H6" s="23"/>
      <c r="I6" s="23"/>
      <c r="J6" s="23" t="s">
        <v>122</v>
      </c>
      <c r="K6" s="23" t="str">
        <f>IF(tbLancamentos[[#This Row],[Data]]="","",TEXT(tbLancamentos[[#This Row],[Mês]],"00")&amp;"-"&amp;CHOOSE(tbLancamentos[[#This Row],[Mês]],"JAN","FEV","MAR","ABR","MAI","JUN","JUL","AGO","SET","OUT","NOV","DEZ"))</f>
        <v>01-JAN</v>
      </c>
    </row>
    <row r="7" spans="1:11" x14ac:dyDescent="0.3">
      <c r="A7" s="21">
        <v>45658</v>
      </c>
      <c r="B7" s="22">
        <f>IF(tbLancamentos[[#This Row],[Data]]="","",MONTH(tbLancamentos[[#This Row],[Data]]))</f>
        <v>1</v>
      </c>
      <c r="C7" s="23">
        <v>8</v>
      </c>
      <c r="D7" s="22" t="str">
        <f>IF(tbLancamentos[[#This Row],[Código]]="","",IFERROR(INDEX(tbCategorias[Grupo],MATCH(tbLancamentos[[#This Row],[Código]],tbCategorias[Código],0)),"CÓDIGO INVÁLIDO"))</f>
        <v>Moradia</v>
      </c>
      <c r="E7" s="22" t="str">
        <f>IF(tbLancamentos[[#This Row],[Código]]="","",IFERROR(INDEX(tbCategorias[Subcategoria],MATCH(tbLancamentos[[#This Row],[Código]],tbCategorias[Código],0)),"CÓDIGO INVÁLIDO"))</f>
        <v>Gás</v>
      </c>
      <c r="F7" s="23" t="s">
        <v>124</v>
      </c>
      <c r="G7" s="24">
        <v>55</v>
      </c>
      <c r="H7" s="23"/>
      <c r="I7" s="23"/>
      <c r="J7" s="23" t="s">
        <v>122</v>
      </c>
      <c r="K7" s="23" t="str">
        <f>IF(tbLancamentos[[#This Row],[Data]]="","",TEXT(tbLancamentos[[#This Row],[Mês]],"00")&amp;"-"&amp;CHOOSE(tbLancamentos[[#This Row],[Mês]],"JAN","FEV","MAR","ABR","MAI","JUN","JUL","AGO","SET","OUT","NOV","DEZ"))</f>
        <v>01-JAN</v>
      </c>
    </row>
    <row r="8" spans="1:11" x14ac:dyDescent="0.3">
      <c r="A8" s="21">
        <v>45658</v>
      </c>
      <c r="B8" s="22">
        <f>IF(tbLancamentos[[#This Row],[Data]]="","",MONTH(tbLancamentos[[#This Row],[Data]]))</f>
        <v>1</v>
      </c>
      <c r="C8" s="23">
        <v>11</v>
      </c>
      <c r="D8" s="22" t="str">
        <f>IF(tbLancamentos[[#This Row],[Código]]="","",IFERROR(INDEX(tbCategorias[Grupo],MATCH(tbLancamentos[[#This Row],[Código]],tbCategorias[Código],0)),"CÓDIGO INVÁLIDO"))</f>
        <v>Alimentação</v>
      </c>
      <c r="E8" s="22" t="str">
        <f>IF(tbLancamentos[[#This Row],[Código]]="","",IFERROR(INDEX(tbCategorias[Subcategoria],MATCH(tbLancamentos[[#This Row],[Código]],tbCategorias[Código],0)),"CÓDIGO INVÁLIDO"))</f>
        <v>Supermercado</v>
      </c>
      <c r="F8" s="23" t="s">
        <v>125</v>
      </c>
      <c r="G8" s="24">
        <v>450</v>
      </c>
      <c r="H8" s="23"/>
      <c r="I8" s="23"/>
      <c r="J8" s="23" t="s">
        <v>122</v>
      </c>
      <c r="K8" s="23" t="str">
        <f>IF(tbLancamentos[[#This Row],[Data]]="","",TEXT(tbLancamentos[[#This Row],[Mês]],"00")&amp;"-"&amp;CHOOSE(tbLancamentos[[#This Row],[Mês]],"JAN","FEV","MAR","ABR","MAI","JUN","JUL","AGO","SET","OUT","NOV","DEZ"))</f>
        <v>01-JAN</v>
      </c>
    </row>
    <row r="9" spans="1:11" x14ac:dyDescent="0.3">
      <c r="A9" s="21">
        <v>45658</v>
      </c>
      <c r="B9" s="22">
        <f>IF(tbLancamentos[[#This Row],[Data]]="","",MONTH(tbLancamentos[[#This Row],[Data]]))</f>
        <v>1</v>
      </c>
      <c r="C9" s="23">
        <v>12</v>
      </c>
      <c r="D9" s="22" t="str">
        <f>IF(tbLancamentos[[#This Row],[Código]]="","",IFERROR(INDEX(tbCategorias[Grupo],MATCH(tbLancamentos[[#This Row],[Código]],tbCategorias[Código],0)),"CÓDIGO INVÁLIDO"))</f>
        <v>Alimentação</v>
      </c>
      <c r="E9" s="22" t="str">
        <f>IF(tbLancamentos[[#This Row],[Código]]="","",IFERROR(INDEX(tbCategorias[Subcategoria],MATCH(tbLancamentos[[#This Row],[Código]],tbCategorias[Código],0)),"CÓDIGO INVÁLIDO"))</f>
        <v>Restaurante</v>
      </c>
      <c r="F9" s="23" t="s">
        <v>126</v>
      </c>
      <c r="G9" s="24">
        <v>140</v>
      </c>
      <c r="H9" s="23"/>
      <c r="I9" s="23"/>
      <c r="J9" s="23" t="s">
        <v>122</v>
      </c>
      <c r="K9" s="23" t="str">
        <f>IF(tbLancamentos[[#This Row],[Data]]="","",TEXT(tbLancamentos[[#This Row],[Mês]],"00")&amp;"-"&amp;CHOOSE(tbLancamentos[[#This Row],[Mês]],"JAN","FEV","MAR","ABR","MAI","JUN","JUL","AGO","SET","OUT","NOV","DEZ"))</f>
        <v>01-JAN</v>
      </c>
    </row>
    <row r="10" spans="1:11" x14ac:dyDescent="0.3">
      <c r="A10" s="21">
        <v>45658</v>
      </c>
      <c r="B10" s="22">
        <f>IF(tbLancamentos[[#This Row],[Data]]="","",MONTH(tbLancamentos[[#This Row],[Data]]))</f>
        <v>1</v>
      </c>
      <c r="C10" s="23">
        <v>13</v>
      </c>
      <c r="D10" s="22" t="str">
        <f>IF(tbLancamentos[[#This Row],[Código]]="","",IFERROR(INDEX(tbCategorias[Grupo],MATCH(tbLancamentos[[#This Row],[Código]],tbCategorias[Código],0)),"CÓDIGO INVÁLIDO"))</f>
        <v>Alimentação</v>
      </c>
      <c r="E10" s="22" t="str">
        <f>IF(tbLancamentos[[#This Row],[Código]]="","",IFERROR(INDEX(tbCategorias[Subcategoria],MATCH(tbLancamentos[[#This Row],[Código]],tbCategorias[Código],0)),"CÓDIGO INVÁLIDO"))</f>
        <v>Café / Almoço</v>
      </c>
      <c r="F10" s="23" t="s">
        <v>127</v>
      </c>
      <c r="G10" s="24">
        <v>250</v>
      </c>
      <c r="H10" s="23"/>
      <c r="I10" s="23"/>
      <c r="J10" s="23" t="s">
        <v>122</v>
      </c>
      <c r="K10" s="23" t="str">
        <f>IF(tbLancamentos[[#This Row],[Data]]="","",TEXT(tbLancamentos[[#This Row],[Mês]],"00")&amp;"-"&amp;CHOOSE(tbLancamentos[[#This Row],[Mês]],"JAN","FEV","MAR","ABR","MAI","JUN","JUL","AGO","SET","OUT","NOV","DEZ"))</f>
        <v>01-JAN</v>
      </c>
    </row>
    <row r="11" spans="1:11" x14ac:dyDescent="0.3">
      <c r="A11" s="21">
        <v>45658</v>
      </c>
      <c r="B11" s="22">
        <f>IF(tbLancamentos[[#This Row],[Data]]="","",MONTH(tbLancamentos[[#This Row],[Data]]))</f>
        <v>1</v>
      </c>
      <c r="C11" s="23">
        <v>15</v>
      </c>
      <c r="D11" s="22" t="str">
        <f>IF(tbLancamentos[[#This Row],[Código]]="","",IFERROR(INDEX(tbCategorias[Grupo],MATCH(tbLancamentos[[#This Row],[Código]],tbCategorias[Código],0)),"CÓDIGO INVÁLIDO"))</f>
        <v>Comunicação</v>
      </c>
      <c r="E11" s="22" t="str">
        <f>IF(tbLancamentos[[#This Row],[Código]]="","",IFERROR(INDEX(tbCategorias[Subcategoria],MATCH(tbLancamentos[[#This Row],[Código]],tbCategorias[Código],0)),"CÓDIGO INVÁLIDO"))</f>
        <v>Celular</v>
      </c>
      <c r="F11" s="23" t="s">
        <v>128</v>
      </c>
      <c r="G11" s="24">
        <v>45</v>
      </c>
      <c r="H11" s="23"/>
      <c r="I11" s="23"/>
      <c r="J11" s="23" t="s">
        <v>122</v>
      </c>
      <c r="K11" s="23" t="str">
        <f>IF(tbLancamentos[[#This Row],[Data]]="","",TEXT(tbLancamentos[[#This Row],[Mês]],"00")&amp;"-"&amp;CHOOSE(tbLancamentos[[#This Row],[Mês]],"JAN","FEV","MAR","ABR","MAI","JUN","JUL","AGO","SET","OUT","NOV","DEZ"))</f>
        <v>01-JAN</v>
      </c>
    </row>
    <row r="12" spans="1:11" x14ac:dyDescent="0.3">
      <c r="A12" s="21">
        <v>45658</v>
      </c>
      <c r="B12" s="22">
        <f>IF(tbLancamentos[[#This Row],[Data]]="","",MONTH(tbLancamentos[[#This Row],[Data]]))</f>
        <v>1</v>
      </c>
      <c r="C12" s="23">
        <v>16</v>
      </c>
      <c r="D12" s="22" t="str">
        <f>IF(tbLancamentos[[#This Row],[Código]]="","",IFERROR(INDEX(tbCategorias[Grupo],MATCH(tbLancamentos[[#This Row],[Código]],tbCategorias[Código],0)),"CÓDIGO INVÁLIDO"))</f>
        <v>Comunicação</v>
      </c>
      <c r="E12" s="22" t="str">
        <f>IF(tbLancamentos[[#This Row],[Código]]="","",IFERROR(INDEX(tbCategorias[Subcategoria],MATCH(tbLancamentos[[#This Row],[Código]],tbCategorias[Código],0)),"CÓDIGO INVÁLIDO"))</f>
        <v>Internet</v>
      </c>
      <c r="F12" s="23" t="s">
        <v>129</v>
      </c>
      <c r="G12" s="24">
        <v>89</v>
      </c>
      <c r="H12" s="23"/>
      <c r="I12" s="23"/>
      <c r="J12" s="23" t="s">
        <v>122</v>
      </c>
      <c r="K12" s="23" t="str">
        <f>IF(tbLancamentos[[#This Row],[Data]]="","",TEXT(tbLancamentos[[#This Row],[Mês]],"00")&amp;"-"&amp;CHOOSE(tbLancamentos[[#This Row],[Mês]],"JAN","FEV","MAR","ABR","MAI","JUN","JUL","AGO","SET","OUT","NOV","DEZ"))</f>
        <v>01-JAN</v>
      </c>
    </row>
    <row r="13" spans="1:11" x14ac:dyDescent="0.3">
      <c r="A13" s="21">
        <v>45658</v>
      </c>
      <c r="B13" s="22">
        <f>IF(tbLancamentos[[#This Row],[Data]]="","",MONTH(tbLancamentos[[#This Row],[Data]]))</f>
        <v>1</v>
      </c>
      <c r="C13" s="23">
        <v>17</v>
      </c>
      <c r="D13" s="22" t="str">
        <f>IF(tbLancamentos[[#This Row],[Código]]="","",IFERROR(INDEX(tbCategorias[Grupo],MATCH(tbLancamentos[[#This Row],[Código]],tbCategorias[Código],0)),"CÓDIGO INVÁLIDO"))</f>
        <v>Comunicação</v>
      </c>
      <c r="E13" s="22" t="str">
        <f>IF(tbLancamentos[[#This Row],[Código]]="","",IFERROR(INDEX(tbCategorias[Subcategoria],MATCH(tbLancamentos[[#This Row],[Código]],tbCategorias[Código],0)),"CÓDIGO INVÁLIDO"))</f>
        <v>Streaming (outros)</v>
      </c>
      <c r="F13" s="23" t="s">
        <v>130</v>
      </c>
      <c r="G13" s="24">
        <v>24</v>
      </c>
      <c r="H13" s="23"/>
      <c r="I13" s="23"/>
      <c r="J13" s="23" t="s">
        <v>122</v>
      </c>
      <c r="K13" s="23" t="str">
        <f>IF(tbLancamentos[[#This Row],[Data]]="","",TEXT(tbLancamentos[[#This Row],[Mês]],"00")&amp;"-"&amp;CHOOSE(tbLancamentos[[#This Row],[Mês]],"JAN","FEV","MAR","ABR","MAI","JUN","JUL","AGO","SET","OUT","NOV","DEZ"))</f>
        <v>01-JAN</v>
      </c>
    </row>
    <row r="14" spans="1:11" x14ac:dyDescent="0.3">
      <c r="A14" s="21">
        <v>45658</v>
      </c>
      <c r="B14" s="22">
        <f>IF(tbLancamentos[[#This Row],[Data]]="","",MONTH(tbLancamentos[[#This Row],[Data]]))</f>
        <v>1</v>
      </c>
      <c r="C14" s="23">
        <v>18</v>
      </c>
      <c r="D14" s="22" t="str">
        <f>IF(tbLancamentos[[#This Row],[Código]]="","",IFERROR(INDEX(tbCategorias[Grupo],MATCH(tbLancamentos[[#This Row],[Código]],tbCategorias[Código],0)),"CÓDIGO INVÁLIDO"))</f>
        <v>Comunicação</v>
      </c>
      <c r="E14" s="22" t="str">
        <f>IF(tbLancamentos[[#This Row],[Código]]="","",IFERROR(INDEX(tbCategorias[Subcategoria],MATCH(tbLancamentos[[#This Row],[Código]],tbCategorias[Código],0)),"CÓDIGO INVÁLIDO"))</f>
        <v>Netflix</v>
      </c>
      <c r="F14" s="23" t="s">
        <v>131</v>
      </c>
      <c r="G14" s="24">
        <v>22</v>
      </c>
      <c r="H14" s="23"/>
      <c r="I14" s="23"/>
      <c r="J14" s="23" t="s">
        <v>122</v>
      </c>
      <c r="K14" s="23" t="str">
        <f>IF(tbLancamentos[[#This Row],[Data]]="","",TEXT(tbLancamentos[[#This Row],[Mês]],"00")&amp;"-"&amp;CHOOSE(tbLancamentos[[#This Row],[Mês]],"JAN","FEV","MAR","ABR","MAI","JUN","JUL","AGO","SET","OUT","NOV","DEZ"))</f>
        <v>01-JAN</v>
      </c>
    </row>
    <row r="15" spans="1:11" x14ac:dyDescent="0.3">
      <c r="A15" s="21">
        <v>45658</v>
      </c>
      <c r="B15" s="22">
        <f>IF(tbLancamentos[[#This Row],[Data]]="","",MONTH(tbLancamentos[[#This Row],[Data]]))</f>
        <v>1</v>
      </c>
      <c r="C15" s="23">
        <v>19</v>
      </c>
      <c r="D15" s="22" t="str">
        <f>IF(tbLancamentos[[#This Row],[Código]]="","",IFERROR(INDEX(tbCategorias[Grupo],MATCH(tbLancamentos[[#This Row],[Código]],tbCategorias[Código],0)),"CÓDIGO INVÁLIDO"))</f>
        <v>Comunicação</v>
      </c>
      <c r="E15" s="22" t="str">
        <f>IF(tbLancamentos[[#This Row],[Código]]="","",IFERROR(INDEX(tbCategorias[Subcategoria],MATCH(tbLancamentos[[#This Row],[Código]],tbCategorias[Código],0)),"CÓDIGO INVÁLIDO"))</f>
        <v>Amazon Prime</v>
      </c>
      <c r="F15" s="23" t="s">
        <v>132</v>
      </c>
      <c r="G15" s="24">
        <v>11</v>
      </c>
      <c r="H15" s="23"/>
      <c r="I15" s="23"/>
      <c r="J15" s="23" t="s">
        <v>122</v>
      </c>
      <c r="K15" s="23" t="str">
        <f>IF(tbLancamentos[[#This Row],[Data]]="","",TEXT(tbLancamentos[[#This Row],[Mês]],"00")&amp;"-"&amp;CHOOSE(tbLancamentos[[#This Row],[Mês]],"JAN","FEV","MAR","ABR","MAI","JUN","JUL","AGO","SET","OUT","NOV","DEZ"))</f>
        <v>01-JAN</v>
      </c>
    </row>
    <row r="16" spans="1:11" x14ac:dyDescent="0.3">
      <c r="A16" s="21">
        <v>45658</v>
      </c>
      <c r="B16" s="22">
        <f>IF(tbLancamentos[[#This Row],[Data]]="","",MONTH(tbLancamentos[[#This Row],[Data]]))</f>
        <v>1</v>
      </c>
      <c r="C16" s="23">
        <v>20</v>
      </c>
      <c r="D16" s="22" t="str">
        <f>IF(tbLancamentos[[#This Row],[Código]]="","",IFERROR(INDEX(tbCategorias[Grupo],MATCH(tbLancamentos[[#This Row],[Código]],tbCategorias[Código],0)),"CÓDIGO INVÁLIDO"))</f>
        <v>Comunicação</v>
      </c>
      <c r="E16" s="22" t="str">
        <f>IF(tbLancamentos[[#This Row],[Código]]="","",IFERROR(INDEX(tbCategorias[Subcategoria],MATCH(tbLancamentos[[#This Row],[Código]],tbCategorias[Código],0)),"CÓDIGO INVÁLIDO"))</f>
        <v>Max</v>
      </c>
      <c r="F16" s="23" t="s">
        <v>133</v>
      </c>
      <c r="G16" s="24">
        <v>45</v>
      </c>
      <c r="H16" s="23"/>
      <c r="I16" s="23"/>
      <c r="J16" s="23" t="s">
        <v>122</v>
      </c>
      <c r="K16" s="23" t="str">
        <f>IF(tbLancamentos[[#This Row],[Data]]="","",TEXT(tbLancamentos[[#This Row],[Mês]],"00")&amp;"-"&amp;CHOOSE(tbLancamentos[[#This Row],[Mês]],"JAN","FEV","MAR","ABR","MAI","JUN","JUL","AGO","SET","OUT","NOV","DEZ"))</f>
        <v>01-JAN</v>
      </c>
    </row>
    <row r="17" spans="1:11" x14ac:dyDescent="0.3">
      <c r="A17" s="21">
        <v>45658</v>
      </c>
      <c r="B17" s="22">
        <f>IF(tbLancamentos[[#This Row],[Data]]="","",MONTH(tbLancamentos[[#This Row],[Data]]))</f>
        <v>1</v>
      </c>
      <c r="C17" s="23">
        <v>40</v>
      </c>
      <c r="D17" s="22" t="str">
        <f>IF(tbLancamentos[[#This Row],[Código]]="","",IFERROR(INDEX(tbCategorias[Grupo],MATCH(tbLancamentos[[#This Row],[Código]],tbCategorias[Código],0)),"CÓDIGO INVÁLIDO"))</f>
        <v>Transporte</v>
      </c>
      <c r="E17" s="22" t="str">
        <f>IF(tbLancamentos[[#This Row],[Código]]="","",IFERROR(INDEX(tbCategorias[Subcategoria],MATCH(tbLancamentos[[#This Row],[Código]],tbCategorias[Código],0)),"CÓDIGO INVÁLIDO"))</f>
        <v>Aplicativos (Uber / 99)</v>
      </c>
      <c r="F17" s="23" t="s">
        <v>134</v>
      </c>
      <c r="G17" s="24">
        <v>45</v>
      </c>
      <c r="H17" s="23"/>
      <c r="I17" s="23"/>
      <c r="J17" s="23" t="s">
        <v>122</v>
      </c>
      <c r="K17" s="23" t="str">
        <f>IF(tbLancamentos[[#This Row],[Data]]="","",TEXT(tbLancamentos[[#This Row],[Mês]],"00")&amp;"-"&amp;CHOOSE(tbLancamentos[[#This Row],[Mês]],"JAN","FEV","MAR","ABR","MAI","JUN","JUL","AGO","SET","OUT","NOV","DEZ"))</f>
        <v>01-JAN</v>
      </c>
    </row>
    <row r="18" spans="1:11" x14ac:dyDescent="0.3">
      <c r="A18" s="21">
        <v>45658</v>
      </c>
      <c r="B18" s="22">
        <f>IF(tbLancamentos[[#This Row],[Data]]="","",MONTH(tbLancamentos[[#This Row],[Data]]))</f>
        <v>1</v>
      </c>
      <c r="C18" s="23">
        <v>43</v>
      </c>
      <c r="D18" s="22" t="str">
        <f>IF(tbLancamentos[[#This Row],[Código]]="","",IFERROR(INDEX(tbCategorias[Grupo],MATCH(tbLancamentos[[#This Row],[Código]],tbCategorias[Código],0)),"CÓDIGO INVÁLIDO"))</f>
        <v>Transporte</v>
      </c>
      <c r="E18" s="22" t="str">
        <f>IF(tbLancamentos[[#This Row],[Código]]="","",IFERROR(INDEX(tbCategorias[Subcategoria],MATCH(tbLancamentos[[#This Row],[Código]],tbCategorias[Código],0)),"CÓDIGO INVÁLIDO"))</f>
        <v>Transporte Trabalho (Jhenis)</v>
      </c>
      <c r="F18" s="23" t="s">
        <v>135</v>
      </c>
      <c r="G18" s="24">
        <v>143</v>
      </c>
      <c r="H18" s="23"/>
      <c r="I18" s="23"/>
      <c r="J18" s="23" t="s">
        <v>122</v>
      </c>
      <c r="K18" s="23" t="str">
        <f>IF(tbLancamentos[[#This Row],[Data]]="","",TEXT(tbLancamentos[[#This Row],[Mês]],"00")&amp;"-"&amp;CHOOSE(tbLancamentos[[#This Row],[Mês]],"JAN","FEV","MAR","ABR","MAI","JUN","JUL","AGO","SET","OUT","NOV","DEZ"))</f>
        <v>01-JAN</v>
      </c>
    </row>
    <row r="19" spans="1:11" x14ac:dyDescent="0.3">
      <c r="A19" s="21">
        <v>45658</v>
      </c>
      <c r="B19" s="22">
        <f>IF(tbLancamentos[[#This Row],[Data]]="","",MONTH(tbLancamentos[[#This Row],[Data]]))</f>
        <v>1</v>
      </c>
      <c r="C19" s="23">
        <v>44</v>
      </c>
      <c r="D19" s="22" t="str">
        <f>IF(tbLancamentos[[#This Row],[Código]]="","",IFERROR(INDEX(tbCategorias[Grupo],MATCH(tbLancamentos[[#This Row],[Código]],tbCategorias[Código],0)),"CÓDIGO INVÁLIDO"))</f>
        <v>Transporte</v>
      </c>
      <c r="E19" s="22" t="str">
        <f>IF(tbLancamentos[[#This Row],[Código]]="","",IFERROR(INDEX(tbCategorias[Subcategoria],MATCH(tbLancamentos[[#This Row],[Código]],tbCategorias[Código],0)),"CÓDIGO INVÁLIDO"))</f>
        <v>Transporte Trabalho (Matheus)</v>
      </c>
      <c r="F19" s="23" t="s">
        <v>136</v>
      </c>
      <c r="G19" s="24">
        <v>240</v>
      </c>
      <c r="H19" s="23"/>
      <c r="I19" s="23"/>
      <c r="J19" s="23" t="s">
        <v>122</v>
      </c>
      <c r="K19" s="23" t="str">
        <f>IF(tbLancamentos[[#This Row],[Data]]="","",TEXT(tbLancamentos[[#This Row],[Mês]],"00")&amp;"-"&amp;CHOOSE(tbLancamentos[[#This Row],[Mês]],"JAN","FEV","MAR","ABR","MAI","JUN","JUL","AGO","SET","OUT","NOV","DEZ"))</f>
        <v>01-JAN</v>
      </c>
    </row>
    <row r="20" spans="1:11" x14ac:dyDescent="0.3">
      <c r="A20" s="21">
        <v>45658</v>
      </c>
      <c r="B20" s="22">
        <f>IF(tbLancamentos[[#This Row],[Data]]="","",MONTH(tbLancamentos[[#This Row],[Data]]))</f>
        <v>1</v>
      </c>
      <c r="C20" s="23">
        <v>4</v>
      </c>
      <c r="D20" s="22" t="str">
        <f>IF(tbLancamentos[[#This Row],[Código]]="","",IFERROR(INDEX(tbCategorias[Grupo],MATCH(tbLancamentos[[#This Row],[Código]],tbCategorias[Código],0)),"CÓDIGO INVÁLIDO"))</f>
        <v>Cartões e Dívidas</v>
      </c>
      <c r="E20" s="22" t="str">
        <f>IF(tbLancamentos[[#This Row],[Código]]="","",IFERROR(INDEX(tbCategorias[Subcategoria],MATCH(tbLancamentos[[#This Row],[Código]],tbCategorias[Código],0)),"CÓDIGO INVÁLIDO"))</f>
        <v>Cartão Jhenismara</v>
      </c>
      <c r="F20" s="23" t="s">
        <v>137</v>
      </c>
      <c r="G20" s="24">
        <v>1400</v>
      </c>
      <c r="H20" s="23"/>
      <c r="I20" s="23"/>
      <c r="J20" s="23" t="s">
        <v>122</v>
      </c>
      <c r="K20" s="23" t="str">
        <f>IF(tbLancamentos[[#This Row],[Data]]="","",TEXT(tbLancamentos[[#This Row],[Mês]],"00")&amp;"-"&amp;CHOOSE(tbLancamentos[[#This Row],[Mês]],"JAN","FEV","MAR","ABR","MAI","JUN","JUL","AGO","SET","OUT","NOV","DEZ"))</f>
        <v>01-JAN</v>
      </c>
    </row>
    <row r="21" spans="1:11" x14ac:dyDescent="0.3">
      <c r="A21" s="21">
        <v>45658</v>
      </c>
      <c r="B21" s="22">
        <f>IF(tbLancamentos[[#This Row],[Data]]="","",MONTH(tbLancamentos[[#This Row],[Data]]))</f>
        <v>1</v>
      </c>
      <c r="C21" s="23">
        <v>9</v>
      </c>
      <c r="D21" s="22" t="str">
        <f>IF(tbLancamentos[[#This Row],[Código]]="","",IFERROR(INDEX(tbCategorias[Grupo],MATCH(tbLancamentos[[#This Row],[Código]],tbCategorias[Código],0)),"CÓDIGO INVÁLIDO"))</f>
        <v>Cartões e Dívidas</v>
      </c>
      <c r="E21" s="22" t="str">
        <f>IF(tbLancamentos[[#This Row],[Código]]="","",IFERROR(INDEX(tbCategorias[Subcategoria],MATCH(tbLancamentos[[#This Row],[Código]],tbCategorias[Código],0)),"CÓDIGO INVÁLIDO"))</f>
        <v>Cartão Matheus</v>
      </c>
      <c r="F21" s="23" t="s">
        <v>138</v>
      </c>
      <c r="G21" s="24">
        <v>175</v>
      </c>
      <c r="H21" s="23"/>
      <c r="I21" s="23"/>
      <c r="J21" s="23" t="s">
        <v>122</v>
      </c>
      <c r="K21" s="23" t="str">
        <f>IF(tbLancamentos[[#This Row],[Data]]="","",TEXT(tbLancamentos[[#This Row],[Mês]],"00")&amp;"-"&amp;CHOOSE(tbLancamentos[[#This Row],[Mês]],"JAN","FEV","MAR","ABR","MAI","JUN","JUL","AGO","SET","OUT","NOV","DEZ"))</f>
        <v>01-JAN</v>
      </c>
    </row>
    <row r="22" spans="1:11" x14ac:dyDescent="0.3">
      <c r="A22" s="21">
        <v>45689</v>
      </c>
      <c r="B22" s="22">
        <f>IF(tbLancamentos[[#This Row],[Data]]="","",MONTH(tbLancamentos[[#This Row],[Data]]))</f>
        <v>2</v>
      </c>
      <c r="C22" s="23">
        <v>6</v>
      </c>
      <c r="D22" s="22" t="str">
        <f>IF(tbLancamentos[[#This Row],[Código]]="","",IFERROR(INDEX(tbCategorias[Grupo],MATCH(tbLancamentos[[#This Row],[Código]],tbCategorias[Código],0)),"CÓDIGO INVÁLIDO"))</f>
        <v>Moradia</v>
      </c>
      <c r="E22" s="22" t="str">
        <f>IF(tbLancamentos[[#This Row],[Código]]="","",IFERROR(INDEX(tbCategorias[Subcategoria],MATCH(tbLancamentos[[#This Row],[Código]],tbCategorias[Código],0)),"CÓDIGO INVÁLIDO"))</f>
        <v>Energia</v>
      </c>
      <c r="F22" s="23" t="s">
        <v>121</v>
      </c>
      <c r="G22" s="24">
        <v>150</v>
      </c>
      <c r="H22" s="23"/>
      <c r="I22" s="23"/>
      <c r="J22" s="23" t="s">
        <v>122</v>
      </c>
      <c r="K22" s="23" t="str">
        <f>IF(tbLancamentos[[#This Row],[Data]]="","",TEXT(tbLancamentos[[#This Row],[Mês]],"00")&amp;"-"&amp;CHOOSE(tbLancamentos[[#This Row],[Mês]],"JAN","FEV","MAR","ABR","MAI","JUN","JUL","AGO","SET","OUT","NOV","DEZ"))</f>
        <v>02-FEV</v>
      </c>
    </row>
    <row r="23" spans="1:11" x14ac:dyDescent="0.3">
      <c r="A23" s="21">
        <v>45689</v>
      </c>
      <c r="B23" s="22">
        <f>IF(tbLancamentos[[#This Row],[Data]]="","",MONTH(tbLancamentos[[#This Row],[Data]]))</f>
        <v>2</v>
      </c>
      <c r="C23" s="23">
        <v>7</v>
      </c>
      <c r="D23" s="22" t="str">
        <f>IF(tbLancamentos[[#This Row],[Código]]="","",IFERROR(INDEX(tbCategorias[Grupo],MATCH(tbLancamentos[[#This Row],[Código]],tbCategorias[Código],0)),"CÓDIGO INVÁLIDO"))</f>
        <v>Moradia</v>
      </c>
      <c r="E23" s="22" t="str">
        <f>IF(tbLancamentos[[#This Row],[Código]]="","",IFERROR(INDEX(tbCategorias[Subcategoria],MATCH(tbLancamentos[[#This Row],[Código]],tbCategorias[Código],0)),"CÓDIGO INVÁLIDO"))</f>
        <v>Água</v>
      </c>
      <c r="F23" s="23" t="s">
        <v>123</v>
      </c>
      <c r="G23" s="24">
        <v>77</v>
      </c>
      <c r="H23" s="23"/>
      <c r="I23" s="23"/>
      <c r="J23" s="23" t="s">
        <v>122</v>
      </c>
      <c r="K23" s="23" t="str">
        <f>IF(tbLancamentos[[#This Row],[Data]]="","",TEXT(tbLancamentos[[#This Row],[Mês]],"00")&amp;"-"&amp;CHOOSE(tbLancamentos[[#This Row],[Mês]],"JAN","FEV","MAR","ABR","MAI","JUN","JUL","AGO","SET","OUT","NOV","DEZ"))</f>
        <v>02-FEV</v>
      </c>
    </row>
    <row r="24" spans="1:11" x14ac:dyDescent="0.3">
      <c r="A24" s="21">
        <v>45689</v>
      </c>
      <c r="B24" s="22">
        <f>IF(tbLancamentos[[#This Row],[Data]]="","",MONTH(tbLancamentos[[#This Row],[Data]]))</f>
        <v>2</v>
      </c>
      <c r="C24" s="23">
        <v>8</v>
      </c>
      <c r="D24" s="22" t="str">
        <f>IF(tbLancamentos[[#This Row],[Código]]="","",IFERROR(INDEX(tbCategorias[Grupo],MATCH(tbLancamentos[[#This Row],[Código]],tbCategorias[Código],0)),"CÓDIGO INVÁLIDO"))</f>
        <v>Moradia</v>
      </c>
      <c r="E24" s="22" t="str">
        <f>IF(tbLancamentos[[#This Row],[Código]]="","",IFERROR(INDEX(tbCategorias[Subcategoria],MATCH(tbLancamentos[[#This Row],[Código]],tbCategorias[Código],0)),"CÓDIGO INVÁLIDO"))</f>
        <v>Gás</v>
      </c>
      <c r="F24" s="23" t="s">
        <v>124</v>
      </c>
      <c r="G24" s="24">
        <v>55</v>
      </c>
      <c r="H24" s="23"/>
      <c r="I24" s="23"/>
      <c r="J24" s="23" t="s">
        <v>122</v>
      </c>
      <c r="K24" s="23" t="str">
        <f>IF(tbLancamentos[[#This Row],[Data]]="","",TEXT(tbLancamentos[[#This Row],[Mês]],"00")&amp;"-"&amp;CHOOSE(tbLancamentos[[#This Row],[Mês]],"JAN","FEV","MAR","ABR","MAI","JUN","JUL","AGO","SET","OUT","NOV","DEZ"))</f>
        <v>02-FEV</v>
      </c>
    </row>
    <row r="25" spans="1:11" x14ac:dyDescent="0.3">
      <c r="A25" s="21">
        <v>45689</v>
      </c>
      <c r="B25" s="22">
        <f>IF(tbLancamentos[[#This Row],[Data]]="","",MONTH(tbLancamentos[[#This Row],[Data]]))</f>
        <v>2</v>
      </c>
      <c r="C25" s="23">
        <v>11</v>
      </c>
      <c r="D25" s="22" t="str">
        <f>IF(tbLancamentos[[#This Row],[Código]]="","",IFERROR(INDEX(tbCategorias[Grupo],MATCH(tbLancamentos[[#This Row],[Código]],tbCategorias[Código],0)),"CÓDIGO INVÁLIDO"))</f>
        <v>Alimentação</v>
      </c>
      <c r="E25" s="22" t="str">
        <f>IF(tbLancamentos[[#This Row],[Código]]="","",IFERROR(INDEX(tbCategorias[Subcategoria],MATCH(tbLancamentos[[#This Row],[Código]],tbCategorias[Código],0)),"CÓDIGO INVÁLIDO"))</f>
        <v>Supermercado</v>
      </c>
      <c r="F25" s="23" t="s">
        <v>125</v>
      </c>
      <c r="G25" s="24">
        <v>450</v>
      </c>
      <c r="H25" s="23"/>
      <c r="I25" s="23"/>
      <c r="J25" s="23" t="s">
        <v>122</v>
      </c>
      <c r="K25" s="23" t="str">
        <f>IF(tbLancamentos[[#This Row],[Data]]="","",TEXT(tbLancamentos[[#This Row],[Mês]],"00")&amp;"-"&amp;CHOOSE(tbLancamentos[[#This Row],[Mês]],"JAN","FEV","MAR","ABR","MAI","JUN","JUL","AGO","SET","OUT","NOV","DEZ"))</f>
        <v>02-FEV</v>
      </c>
    </row>
    <row r="26" spans="1:11" x14ac:dyDescent="0.3">
      <c r="A26" s="21">
        <v>45689</v>
      </c>
      <c r="B26" s="22">
        <f>IF(tbLancamentos[[#This Row],[Data]]="","",MONTH(tbLancamentos[[#This Row],[Data]]))</f>
        <v>2</v>
      </c>
      <c r="C26" s="23">
        <v>12</v>
      </c>
      <c r="D26" s="22" t="str">
        <f>IF(tbLancamentos[[#This Row],[Código]]="","",IFERROR(INDEX(tbCategorias[Grupo],MATCH(tbLancamentos[[#This Row],[Código]],tbCategorias[Código],0)),"CÓDIGO INVÁLIDO"))</f>
        <v>Alimentação</v>
      </c>
      <c r="E26" s="22" t="str">
        <f>IF(tbLancamentos[[#This Row],[Código]]="","",IFERROR(INDEX(tbCategorias[Subcategoria],MATCH(tbLancamentos[[#This Row],[Código]],tbCategorias[Código],0)),"CÓDIGO INVÁLIDO"))</f>
        <v>Restaurante</v>
      </c>
      <c r="F26" s="23" t="s">
        <v>126</v>
      </c>
      <c r="G26" s="24">
        <v>140</v>
      </c>
      <c r="H26" s="23"/>
      <c r="I26" s="23"/>
      <c r="J26" s="23" t="s">
        <v>122</v>
      </c>
      <c r="K26" s="23" t="str">
        <f>IF(tbLancamentos[[#This Row],[Data]]="","",TEXT(tbLancamentos[[#This Row],[Mês]],"00")&amp;"-"&amp;CHOOSE(tbLancamentos[[#This Row],[Mês]],"JAN","FEV","MAR","ABR","MAI","JUN","JUL","AGO","SET","OUT","NOV","DEZ"))</f>
        <v>02-FEV</v>
      </c>
    </row>
    <row r="27" spans="1:11" x14ac:dyDescent="0.3">
      <c r="A27" s="21">
        <v>45689</v>
      </c>
      <c r="B27" s="22">
        <f>IF(tbLancamentos[[#This Row],[Data]]="","",MONTH(tbLancamentos[[#This Row],[Data]]))</f>
        <v>2</v>
      </c>
      <c r="C27" s="23">
        <v>13</v>
      </c>
      <c r="D27" s="22" t="str">
        <f>IF(tbLancamentos[[#This Row],[Código]]="","",IFERROR(INDEX(tbCategorias[Grupo],MATCH(tbLancamentos[[#This Row],[Código]],tbCategorias[Código],0)),"CÓDIGO INVÁLIDO"))</f>
        <v>Alimentação</v>
      </c>
      <c r="E27" s="22" t="str">
        <f>IF(tbLancamentos[[#This Row],[Código]]="","",IFERROR(INDEX(tbCategorias[Subcategoria],MATCH(tbLancamentos[[#This Row],[Código]],tbCategorias[Código],0)),"CÓDIGO INVÁLIDO"))</f>
        <v>Café / Almoço</v>
      </c>
      <c r="F27" s="23" t="s">
        <v>127</v>
      </c>
      <c r="G27" s="24">
        <v>250</v>
      </c>
      <c r="H27" s="23"/>
      <c r="I27" s="23"/>
      <c r="J27" s="23" t="s">
        <v>122</v>
      </c>
      <c r="K27" s="23" t="str">
        <f>IF(tbLancamentos[[#This Row],[Data]]="","",TEXT(tbLancamentos[[#This Row],[Mês]],"00")&amp;"-"&amp;CHOOSE(tbLancamentos[[#This Row],[Mês]],"JAN","FEV","MAR","ABR","MAI","JUN","JUL","AGO","SET","OUT","NOV","DEZ"))</f>
        <v>02-FEV</v>
      </c>
    </row>
    <row r="28" spans="1:11" x14ac:dyDescent="0.3">
      <c r="A28" s="21">
        <v>45689</v>
      </c>
      <c r="B28" s="22">
        <f>IF(tbLancamentos[[#This Row],[Data]]="","",MONTH(tbLancamentos[[#This Row],[Data]]))</f>
        <v>2</v>
      </c>
      <c r="C28" s="23">
        <v>15</v>
      </c>
      <c r="D28" s="22" t="str">
        <f>IF(tbLancamentos[[#This Row],[Código]]="","",IFERROR(INDEX(tbCategorias[Grupo],MATCH(tbLancamentos[[#This Row],[Código]],tbCategorias[Código],0)),"CÓDIGO INVÁLIDO"))</f>
        <v>Comunicação</v>
      </c>
      <c r="E28" s="22" t="str">
        <f>IF(tbLancamentos[[#This Row],[Código]]="","",IFERROR(INDEX(tbCategorias[Subcategoria],MATCH(tbLancamentos[[#This Row],[Código]],tbCategorias[Código],0)),"CÓDIGO INVÁLIDO"))</f>
        <v>Celular</v>
      </c>
      <c r="F28" s="23" t="s">
        <v>128</v>
      </c>
      <c r="G28" s="24">
        <v>45</v>
      </c>
      <c r="H28" s="23"/>
      <c r="I28" s="23"/>
      <c r="J28" s="23" t="s">
        <v>122</v>
      </c>
      <c r="K28" s="23" t="str">
        <f>IF(tbLancamentos[[#This Row],[Data]]="","",TEXT(tbLancamentos[[#This Row],[Mês]],"00")&amp;"-"&amp;CHOOSE(tbLancamentos[[#This Row],[Mês]],"JAN","FEV","MAR","ABR","MAI","JUN","JUL","AGO","SET","OUT","NOV","DEZ"))</f>
        <v>02-FEV</v>
      </c>
    </row>
    <row r="29" spans="1:11" x14ac:dyDescent="0.3">
      <c r="A29" s="21">
        <v>45689</v>
      </c>
      <c r="B29" s="22">
        <f>IF(tbLancamentos[[#This Row],[Data]]="","",MONTH(tbLancamentos[[#This Row],[Data]]))</f>
        <v>2</v>
      </c>
      <c r="C29" s="23">
        <v>16</v>
      </c>
      <c r="D29" s="22" t="str">
        <f>IF(tbLancamentos[[#This Row],[Código]]="","",IFERROR(INDEX(tbCategorias[Grupo],MATCH(tbLancamentos[[#This Row],[Código]],tbCategorias[Código],0)),"CÓDIGO INVÁLIDO"))</f>
        <v>Comunicação</v>
      </c>
      <c r="E29" s="22" t="str">
        <f>IF(tbLancamentos[[#This Row],[Código]]="","",IFERROR(INDEX(tbCategorias[Subcategoria],MATCH(tbLancamentos[[#This Row],[Código]],tbCategorias[Código],0)),"CÓDIGO INVÁLIDO"))</f>
        <v>Internet</v>
      </c>
      <c r="F29" s="23" t="s">
        <v>129</v>
      </c>
      <c r="G29" s="24">
        <v>89</v>
      </c>
      <c r="H29" s="23"/>
      <c r="I29" s="23"/>
      <c r="J29" s="23" t="s">
        <v>122</v>
      </c>
      <c r="K29" s="23" t="str">
        <f>IF(tbLancamentos[[#This Row],[Data]]="","",TEXT(tbLancamentos[[#This Row],[Mês]],"00")&amp;"-"&amp;CHOOSE(tbLancamentos[[#This Row],[Mês]],"JAN","FEV","MAR","ABR","MAI","JUN","JUL","AGO","SET","OUT","NOV","DEZ"))</f>
        <v>02-FEV</v>
      </c>
    </row>
    <row r="30" spans="1:11" x14ac:dyDescent="0.3">
      <c r="A30" s="21">
        <v>45689</v>
      </c>
      <c r="B30" s="22">
        <f>IF(tbLancamentos[[#This Row],[Data]]="","",MONTH(tbLancamentos[[#This Row],[Data]]))</f>
        <v>2</v>
      </c>
      <c r="C30" s="23">
        <v>17</v>
      </c>
      <c r="D30" s="22" t="str">
        <f>IF(tbLancamentos[[#This Row],[Código]]="","",IFERROR(INDEX(tbCategorias[Grupo],MATCH(tbLancamentos[[#This Row],[Código]],tbCategorias[Código],0)),"CÓDIGO INVÁLIDO"))</f>
        <v>Comunicação</v>
      </c>
      <c r="E30" s="22" t="str">
        <f>IF(tbLancamentos[[#This Row],[Código]]="","",IFERROR(INDEX(tbCategorias[Subcategoria],MATCH(tbLancamentos[[#This Row],[Código]],tbCategorias[Código],0)),"CÓDIGO INVÁLIDO"))</f>
        <v>Streaming (outros)</v>
      </c>
      <c r="F30" s="23" t="s">
        <v>130</v>
      </c>
      <c r="G30" s="24">
        <v>24</v>
      </c>
      <c r="H30" s="23"/>
      <c r="I30" s="23"/>
      <c r="J30" s="23" t="s">
        <v>122</v>
      </c>
      <c r="K30" s="23" t="str">
        <f>IF(tbLancamentos[[#This Row],[Data]]="","",TEXT(tbLancamentos[[#This Row],[Mês]],"00")&amp;"-"&amp;CHOOSE(tbLancamentos[[#This Row],[Mês]],"JAN","FEV","MAR","ABR","MAI","JUN","JUL","AGO","SET","OUT","NOV","DEZ"))</f>
        <v>02-FEV</v>
      </c>
    </row>
    <row r="31" spans="1:11" x14ac:dyDescent="0.3">
      <c r="A31" s="21">
        <v>45689</v>
      </c>
      <c r="B31" s="22">
        <f>IF(tbLancamentos[[#This Row],[Data]]="","",MONTH(tbLancamentos[[#This Row],[Data]]))</f>
        <v>2</v>
      </c>
      <c r="C31" s="23">
        <v>18</v>
      </c>
      <c r="D31" s="22" t="str">
        <f>IF(tbLancamentos[[#This Row],[Código]]="","",IFERROR(INDEX(tbCategorias[Grupo],MATCH(tbLancamentos[[#This Row],[Código]],tbCategorias[Código],0)),"CÓDIGO INVÁLIDO"))</f>
        <v>Comunicação</v>
      </c>
      <c r="E31" s="22" t="str">
        <f>IF(tbLancamentos[[#This Row],[Código]]="","",IFERROR(INDEX(tbCategorias[Subcategoria],MATCH(tbLancamentos[[#This Row],[Código]],tbCategorias[Código],0)),"CÓDIGO INVÁLIDO"))</f>
        <v>Netflix</v>
      </c>
      <c r="F31" s="23" t="s">
        <v>131</v>
      </c>
      <c r="G31" s="24">
        <v>22</v>
      </c>
      <c r="H31" s="23"/>
      <c r="I31" s="23"/>
      <c r="J31" s="23" t="s">
        <v>122</v>
      </c>
      <c r="K31" s="23" t="str">
        <f>IF(tbLancamentos[[#This Row],[Data]]="","",TEXT(tbLancamentos[[#This Row],[Mês]],"00")&amp;"-"&amp;CHOOSE(tbLancamentos[[#This Row],[Mês]],"JAN","FEV","MAR","ABR","MAI","JUN","JUL","AGO","SET","OUT","NOV","DEZ"))</f>
        <v>02-FEV</v>
      </c>
    </row>
    <row r="32" spans="1:11" x14ac:dyDescent="0.3">
      <c r="A32" s="21">
        <v>45689</v>
      </c>
      <c r="B32" s="22">
        <f>IF(tbLancamentos[[#This Row],[Data]]="","",MONTH(tbLancamentos[[#This Row],[Data]]))</f>
        <v>2</v>
      </c>
      <c r="C32" s="23">
        <v>19</v>
      </c>
      <c r="D32" s="22" t="str">
        <f>IF(tbLancamentos[[#This Row],[Código]]="","",IFERROR(INDEX(tbCategorias[Grupo],MATCH(tbLancamentos[[#This Row],[Código]],tbCategorias[Código],0)),"CÓDIGO INVÁLIDO"))</f>
        <v>Comunicação</v>
      </c>
      <c r="E32" s="22" t="str">
        <f>IF(tbLancamentos[[#This Row],[Código]]="","",IFERROR(INDEX(tbCategorias[Subcategoria],MATCH(tbLancamentos[[#This Row],[Código]],tbCategorias[Código],0)),"CÓDIGO INVÁLIDO"))</f>
        <v>Amazon Prime</v>
      </c>
      <c r="F32" s="23" t="s">
        <v>132</v>
      </c>
      <c r="G32" s="24">
        <v>11</v>
      </c>
      <c r="H32" s="23"/>
      <c r="I32" s="23"/>
      <c r="J32" s="23" t="s">
        <v>122</v>
      </c>
      <c r="K32" s="23" t="str">
        <f>IF(tbLancamentos[[#This Row],[Data]]="","",TEXT(tbLancamentos[[#This Row],[Mês]],"00")&amp;"-"&amp;CHOOSE(tbLancamentos[[#This Row],[Mês]],"JAN","FEV","MAR","ABR","MAI","JUN","JUL","AGO","SET","OUT","NOV","DEZ"))</f>
        <v>02-FEV</v>
      </c>
    </row>
    <row r="33" spans="1:11" x14ac:dyDescent="0.3">
      <c r="A33" s="21">
        <v>45689</v>
      </c>
      <c r="B33" s="22">
        <f>IF(tbLancamentos[[#This Row],[Data]]="","",MONTH(tbLancamentos[[#This Row],[Data]]))</f>
        <v>2</v>
      </c>
      <c r="C33" s="23">
        <v>20</v>
      </c>
      <c r="D33" s="22" t="str">
        <f>IF(tbLancamentos[[#This Row],[Código]]="","",IFERROR(INDEX(tbCategorias[Grupo],MATCH(tbLancamentos[[#This Row],[Código]],tbCategorias[Código],0)),"CÓDIGO INVÁLIDO"))</f>
        <v>Comunicação</v>
      </c>
      <c r="E33" s="22" t="str">
        <f>IF(tbLancamentos[[#This Row],[Código]]="","",IFERROR(INDEX(tbCategorias[Subcategoria],MATCH(tbLancamentos[[#This Row],[Código]],tbCategorias[Código],0)),"CÓDIGO INVÁLIDO"))</f>
        <v>Max</v>
      </c>
      <c r="F33" s="23" t="s">
        <v>133</v>
      </c>
      <c r="G33" s="24">
        <v>45</v>
      </c>
      <c r="H33" s="23"/>
      <c r="I33" s="23"/>
      <c r="J33" s="23" t="s">
        <v>122</v>
      </c>
      <c r="K33" s="23" t="str">
        <f>IF(tbLancamentos[[#This Row],[Data]]="","",TEXT(tbLancamentos[[#This Row],[Mês]],"00")&amp;"-"&amp;CHOOSE(tbLancamentos[[#This Row],[Mês]],"JAN","FEV","MAR","ABR","MAI","JUN","JUL","AGO","SET","OUT","NOV","DEZ"))</f>
        <v>02-FEV</v>
      </c>
    </row>
    <row r="34" spans="1:11" x14ac:dyDescent="0.3">
      <c r="A34" s="21">
        <v>45689</v>
      </c>
      <c r="B34" s="22">
        <f>IF(tbLancamentos[[#This Row],[Data]]="","",MONTH(tbLancamentos[[#This Row],[Data]]))</f>
        <v>2</v>
      </c>
      <c r="C34" s="23">
        <v>40</v>
      </c>
      <c r="D34" s="22" t="str">
        <f>IF(tbLancamentos[[#This Row],[Código]]="","",IFERROR(INDEX(tbCategorias[Grupo],MATCH(tbLancamentos[[#This Row],[Código]],tbCategorias[Código],0)),"CÓDIGO INVÁLIDO"))</f>
        <v>Transporte</v>
      </c>
      <c r="E34" s="22" t="str">
        <f>IF(tbLancamentos[[#This Row],[Código]]="","",IFERROR(INDEX(tbCategorias[Subcategoria],MATCH(tbLancamentos[[#This Row],[Código]],tbCategorias[Código],0)),"CÓDIGO INVÁLIDO"))</f>
        <v>Aplicativos (Uber / 99)</v>
      </c>
      <c r="F34" s="23" t="s">
        <v>134</v>
      </c>
      <c r="G34" s="24">
        <v>45</v>
      </c>
      <c r="H34" s="23"/>
      <c r="I34" s="23"/>
      <c r="J34" s="23" t="s">
        <v>122</v>
      </c>
      <c r="K34" s="23" t="str">
        <f>IF(tbLancamentos[[#This Row],[Data]]="","",TEXT(tbLancamentos[[#This Row],[Mês]],"00")&amp;"-"&amp;CHOOSE(tbLancamentos[[#This Row],[Mês]],"JAN","FEV","MAR","ABR","MAI","JUN","JUL","AGO","SET","OUT","NOV","DEZ"))</f>
        <v>02-FEV</v>
      </c>
    </row>
    <row r="35" spans="1:11" x14ac:dyDescent="0.3">
      <c r="A35" s="21">
        <v>45689</v>
      </c>
      <c r="B35" s="22">
        <f>IF(tbLancamentos[[#This Row],[Data]]="","",MONTH(tbLancamentos[[#This Row],[Data]]))</f>
        <v>2</v>
      </c>
      <c r="C35" s="23">
        <v>43</v>
      </c>
      <c r="D35" s="22" t="str">
        <f>IF(tbLancamentos[[#This Row],[Código]]="","",IFERROR(INDEX(tbCategorias[Grupo],MATCH(tbLancamentos[[#This Row],[Código]],tbCategorias[Código],0)),"CÓDIGO INVÁLIDO"))</f>
        <v>Transporte</v>
      </c>
      <c r="E35" s="22" t="str">
        <f>IF(tbLancamentos[[#This Row],[Código]]="","",IFERROR(INDEX(tbCategorias[Subcategoria],MATCH(tbLancamentos[[#This Row],[Código]],tbCategorias[Código],0)),"CÓDIGO INVÁLIDO"))</f>
        <v>Transporte Trabalho (Jhenis)</v>
      </c>
      <c r="F35" s="23" t="s">
        <v>135</v>
      </c>
      <c r="G35" s="24">
        <v>143</v>
      </c>
      <c r="H35" s="23"/>
      <c r="I35" s="23"/>
      <c r="J35" s="23" t="s">
        <v>122</v>
      </c>
      <c r="K35" s="23" t="str">
        <f>IF(tbLancamentos[[#This Row],[Data]]="","",TEXT(tbLancamentos[[#This Row],[Mês]],"00")&amp;"-"&amp;CHOOSE(tbLancamentos[[#This Row],[Mês]],"JAN","FEV","MAR","ABR","MAI","JUN","JUL","AGO","SET","OUT","NOV","DEZ"))</f>
        <v>02-FEV</v>
      </c>
    </row>
    <row r="36" spans="1:11" x14ac:dyDescent="0.3">
      <c r="A36" s="21">
        <v>45689</v>
      </c>
      <c r="B36" s="22">
        <f>IF(tbLancamentos[[#This Row],[Data]]="","",MONTH(tbLancamentos[[#This Row],[Data]]))</f>
        <v>2</v>
      </c>
      <c r="C36" s="23">
        <v>44</v>
      </c>
      <c r="D36" s="22" t="str">
        <f>IF(tbLancamentos[[#This Row],[Código]]="","",IFERROR(INDEX(tbCategorias[Grupo],MATCH(tbLancamentos[[#This Row],[Código]],tbCategorias[Código],0)),"CÓDIGO INVÁLIDO"))</f>
        <v>Transporte</v>
      </c>
      <c r="E36" s="22" t="str">
        <f>IF(tbLancamentos[[#This Row],[Código]]="","",IFERROR(INDEX(tbCategorias[Subcategoria],MATCH(tbLancamentos[[#This Row],[Código]],tbCategorias[Código],0)),"CÓDIGO INVÁLIDO"))</f>
        <v>Transporte Trabalho (Matheus)</v>
      </c>
      <c r="F36" s="23" t="s">
        <v>136</v>
      </c>
      <c r="G36" s="24">
        <v>240</v>
      </c>
      <c r="H36" s="23"/>
      <c r="I36" s="23"/>
      <c r="J36" s="23" t="s">
        <v>122</v>
      </c>
      <c r="K36" s="23" t="str">
        <f>IF(tbLancamentos[[#This Row],[Data]]="","",TEXT(tbLancamentos[[#This Row],[Mês]],"00")&amp;"-"&amp;CHOOSE(tbLancamentos[[#This Row],[Mês]],"JAN","FEV","MAR","ABR","MAI","JUN","JUL","AGO","SET","OUT","NOV","DEZ"))</f>
        <v>02-FEV</v>
      </c>
    </row>
    <row r="37" spans="1:11" x14ac:dyDescent="0.3">
      <c r="A37" s="21">
        <v>45689</v>
      </c>
      <c r="B37" s="22">
        <f>IF(tbLancamentos[[#This Row],[Data]]="","",MONTH(tbLancamentos[[#This Row],[Data]]))</f>
        <v>2</v>
      </c>
      <c r="C37" s="23">
        <v>4</v>
      </c>
      <c r="D37" s="22" t="str">
        <f>IF(tbLancamentos[[#This Row],[Código]]="","",IFERROR(INDEX(tbCategorias[Grupo],MATCH(tbLancamentos[[#This Row],[Código]],tbCategorias[Código],0)),"CÓDIGO INVÁLIDO"))</f>
        <v>Cartões e Dívidas</v>
      </c>
      <c r="E37" s="22" t="str">
        <f>IF(tbLancamentos[[#This Row],[Código]]="","",IFERROR(INDEX(tbCategorias[Subcategoria],MATCH(tbLancamentos[[#This Row],[Código]],tbCategorias[Código],0)),"CÓDIGO INVÁLIDO"))</f>
        <v>Cartão Jhenismara</v>
      </c>
      <c r="F37" s="23" t="s">
        <v>137</v>
      </c>
      <c r="G37" s="24">
        <v>1400</v>
      </c>
      <c r="H37" s="23"/>
      <c r="I37" s="23"/>
      <c r="J37" s="23" t="s">
        <v>122</v>
      </c>
      <c r="K37" s="23" t="str">
        <f>IF(tbLancamentos[[#This Row],[Data]]="","",TEXT(tbLancamentos[[#This Row],[Mês]],"00")&amp;"-"&amp;CHOOSE(tbLancamentos[[#This Row],[Mês]],"JAN","FEV","MAR","ABR","MAI","JUN","JUL","AGO","SET","OUT","NOV","DEZ"))</f>
        <v>02-FEV</v>
      </c>
    </row>
    <row r="38" spans="1:11" x14ac:dyDescent="0.3">
      <c r="A38" s="21">
        <v>45689</v>
      </c>
      <c r="B38" s="22">
        <f>IF(tbLancamentos[[#This Row],[Data]]="","",MONTH(tbLancamentos[[#This Row],[Data]]))</f>
        <v>2</v>
      </c>
      <c r="C38" s="23">
        <v>9</v>
      </c>
      <c r="D38" s="22" t="str">
        <f>IF(tbLancamentos[[#This Row],[Código]]="","",IFERROR(INDEX(tbCategorias[Grupo],MATCH(tbLancamentos[[#This Row],[Código]],tbCategorias[Código],0)),"CÓDIGO INVÁLIDO"))</f>
        <v>Cartões e Dívidas</v>
      </c>
      <c r="E38" s="22" t="str">
        <f>IF(tbLancamentos[[#This Row],[Código]]="","",IFERROR(INDEX(tbCategorias[Subcategoria],MATCH(tbLancamentos[[#This Row],[Código]],tbCategorias[Código],0)),"CÓDIGO INVÁLIDO"))</f>
        <v>Cartão Matheus</v>
      </c>
      <c r="F38" s="23" t="s">
        <v>138</v>
      </c>
      <c r="G38" s="24">
        <v>175</v>
      </c>
      <c r="H38" s="23"/>
      <c r="I38" s="23"/>
      <c r="J38" s="23" t="s">
        <v>122</v>
      </c>
      <c r="K38" s="23" t="str">
        <f>IF(tbLancamentos[[#This Row],[Data]]="","",TEXT(tbLancamentos[[#This Row],[Mês]],"00")&amp;"-"&amp;CHOOSE(tbLancamentos[[#This Row],[Mês]],"JAN","FEV","MAR","ABR","MAI","JUN","JUL","AGO","SET","OUT","NOV","DEZ"))</f>
        <v>02-FEV</v>
      </c>
    </row>
    <row r="39" spans="1:11" x14ac:dyDescent="0.3">
      <c r="A39" s="21">
        <v>45717</v>
      </c>
      <c r="B39" s="22">
        <f>IF(tbLancamentos[[#This Row],[Data]]="","",MONTH(tbLancamentos[[#This Row],[Data]]))</f>
        <v>3</v>
      </c>
      <c r="C39" s="23">
        <v>6</v>
      </c>
      <c r="D39" s="22" t="str">
        <f>IF(tbLancamentos[[#This Row],[Código]]="","",IFERROR(INDEX(tbCategorias[Grupo],MATCH(tbLancamentos[[#This Row],[Código]],tbCategorias[Código],0)),"CÓDIGO INVÁLIDO"))</f>
        <v>Moradia</v>
      </c>
      <c r="E39" s="22" t="str">
        <f>IF(tbLancamentos[[#This Row],[Código]]="","",IFERROR(INDEX(tbCategorias[Subcategoria],MATCH(tbLancamentos[[#This Row],[Código]],tbCategorias[Código],0)),"CÓDIGO INVÁLIDO"))</f>
        <v>Energia</v>
      </c>
      <c r="F39" s="23" t="s">
        <v>121</v>
      </c>
      <c r="G39" s="24">
        <v>150</v>
      </c>
      <c r="H39" s="23"/>
      <c r="I39" s="23"/>
      <c r="J39" s="23" t="s">
        <v>122</v>
      </c>
      <c r="K39" s="23" t="str">
        <f>IF(tbLancamentos[[#This Row],[Data]]="","",TEXT(tbLancamentos[[#This Row],[Mês]],"00")&amp;"-"&amp;CHOOSE(tbLancamentos[[#This Row],[Mês]],"JAN","FEV","MAR","ABR","MAI","JUN","JUL","AGO","SET","OUT","NOV","DEZ"))</f>
        <v>03-MAR</v>
      </c>
    </row>
    <row r="40" spans="1:11" x14ac:dyDescent="0.3">
      <c r="A40" s="21">
        <v>45717</v>
      </c>
      <c r="B40" s="22">
        <f>IF(tbLancamentos[[#This Row],[Data]]="","",MONTH(tbLancamentos[[#This Row],[Data]]))</f>
        <v>3</v>
      </c>
      <c r="C40" s="23">
        <v>7</v>
      </c>
      <c r="D40" s="22" t="str">
        <f>IF(tbLancamentos[[#This Row],[Código]]="","",IFERROR(INDEX(tbCategorias[Grupo],MATCH(tbLancamentos[[#This Row],[Código]],tbCategorias[Código],0)),"CÓDIGO INVÁLIDO"))</f>
        <v>Moradia</v>
      </c>
      <c r="E40" s="22" t="str">
        <f>IF(tbLancamentos[[#This Row],[Código]]="","",IFERROR(INDEX(tbCategorias[Subcategoria],MATCH(tbLancamentos[[#This Row],[Código]],tbCategorias[Código],0)),"CÓDIGO INVÁLIDO"))</f>
        <v>Água</v>
      </c>
      <c r="F40" s="23" t="s">
        <v>123</v>
      </c>
      <c r="G40" s="24">
        <v>77</v>
      </c>
      <c r="H40" s="23"/>
      <c r="I40" s="23"/>
      <c r="J40" s="23" t="s">
        <v>122</v>
      </c>
      <c r="K40" s="23" t="str">
        <f>IF(tbLancamentos[[#This Row],[Data]]="","",TEXT(tbLancamentos[[#This Row],[Mês]],"00")&amp;"-"&amp;CHOOSE(tbLancamentos[[#This Row],[Mês]],"JAN","FEV","MAR","ABR","MAI","JUN","JUL","AGO","SET","OUT","NOV","DEZ"))</f>
        <v>03-MAR</v>
      </c>
    </row>
    <row r="41" spans="1:11" x14ac:dyDescent="0.3">
      <c r="A41" s="21">
        <v>45717</v>
      </c>
      <c r="B41" s="22">
        <f>IF(tbLancamentos[[#This Row],[Data]]="","",MONTH(tbLancamentos[[#This Row],[Data]]))</f>
        <v>3</v>
      </c>
      <c r="C41" s="23">
        <v>8</v>
      </c>
      <c r="D41" s="22" t="str">
        <f>IF(tbLancamentos[[#This Row],[Código]]="","",IFERROR(INDEX(tbCategorias[Grupo],MATCH(tbLancamentos[[#This Row],[Código]],tbCategorias[Código],0)),"CÓDIGO INVÁLIDO"))</f>
        <v>Moradia</v>
      </c>
      <c r="E41" s="22" t="str">
        <f>IF(tbLancamentos[[#This Row],[Código]]="","",IFERROR(INDEX(tbCategorias[Subcategoria],MATCH(tbLancamentos[[#This Row],[Código]],tbCategorias[Código],0)),"CÓDIGO INVÁLIDO"))</f>
        <v>Gás</v>
      </c>
      <c r="F41" s="23" t="s">
        <v>124</v>
      </c>
      <c r="G41" s="24">
        <v>55</v>
      </c>
      <c r="H41" s="23"/>
      <c r="I41" s="23"/>
      <c r="J41" s="23" t="s">
        <v>122</v>
      </c>
      <c r="K41" s="23" t="str">
        <f>IF(tbLancamentos[[#This Row],[Data]]="","",TEXT(tbLancamentos[[#This Row],[Mês]],"00")&amp;"-"&amp;CHOOSE(tbLancamentos[[#This Row],[Mês]],"JAN","FEV","MAR","ABR","MAI","JUN","JUL","AGO","SET","OUT","NOV","DEZ"))</f>
        <v>03-MAR</v>
      </c>
    </row>
    <row r="42" spans="1:11" x14ac:dyDescent="0.3">
      <c r="A42" s="21">
        <v>45717</v>
      </c>
      <c r="B42" s="22">
        <f>IF(tbLancamentos[[#This Row],[Data]]="","",MONTH(tbLancamentos[[#This Row],[Data]]))</f>
        <v>3</v>
      </c>
      <c r="C42" s="23">
        <v>11</v>
      </c>
      <c r="D42" s="22" t="str">
        <f>IF(tbLancamentos[[#This Row],[Código]]="","",IFERROR(INDEX(tbCategorias[Grupo],MATCH(tbLancamentos[[#This Row],[Código]],tbCategorias[Código],0)),"CÓDIGO INVÁLIDO"))</f>
        <v>Alimentação</v>
      </c>
      <c r="E42" s="22" t="str">
        <f>IF(tbLancamentos[[#This Row],[Código]]="","",IFERROR(INDEX(tbCategorias[Subcategoria],MATCH(tbLancamentos[[#This Row],[Código]],tbCategorias[Código],0)),"CÓDIGO INVÁLIDO"))</f>
        <v>Supermercado</v>
      </c>
      <c r="F42" s="23" t="s">
        <v>125</v>
      </c>
      <c r="G42" s="24">
        <v>450</v>
      </c>
      <c r="H42" s="23"/>
      <c r="I42" s="23"/>
      <c r="J42" s="23" t="s">
        <v>122</v>
      </c>
      <c r="K42" s="23" t="str">
        <f>IF(tbLancamentos[[#This Row],[Data]]="","",TEXT(tbLancamentos[[#This Row],[Mês]],"00")&amp;"-"&amp;CHOOSE(tbLancamentos[[#This Row],[Mês]],"JAN","FEV","MAR","ABR","MAI","JUN","JUL","AGO","SET","OUT","NOV","DEZ"))</f>
        <v>03-MAR</v>
      </c>
    </row>
    <row r="43" spans="1:11" x14ac:dyDescent="0.3">
      <c r="A43" s="21">
        <v>45717</v>
      </c>
      <c r="B43" s="22">
        <f>IF(tbLancamentos[[#This Row],[Data]]="","",MONTH(tbLancamentos[[#This Row],[Data]]))</f>
        <v>3</v>
      </c>
      <c r="C43" s="23">
        <v>12</v>
      </c>
      <c r="D43" s="22" t="str">
        <f>IF(tbLancamentos[[#This Row],[Código]]="","",IFERROR(INDEX(tbCategorias[Grupo],MATCH(tbLancamentos[[#This Row],[Código]],tbCategorias[Código],0)),"CÓDIGO INVÁLIDO"))</f>
        <v>Alimentação</v>
      </c>
      <c r="E43" s="22" t="str">
        <f>IF(tbLancamentos[[#This Row],[Código]]="","",IFERROR(INDEX(tbCategorias[Subcategoria],MATCH(tbLancamentos[[#This Row],[Código]],tbCategorias[Código],0)),"CÓDIGO INVÁLIDO"))</f>
        <v>Restaurante</v>
      </c>
      <c r="F43" s="23" t="s">
        <v>126</v>
      </c>
      <c r="G43" s="24">
        <v>140</v>
      </c>
      <c r="H43" s="23"/>
      <c r="I43" s="23"/>
      <c r="J43" s="23" t="s">
        <v>122</v>
      </c>
      <c r="K43" s="23" t="str">
        <f>IF(tbLancamentos[[#This Row],[Data]]="","",TEXT(tbLancamentos[[#This Row],[Mês]],"00")&amp;"-"&amp;CHOOSE(tbLancamentos[[#This Row],[Mês]],"JAN","FEV","MAR","ABR","MAI","JUN","JUL","AGO","SET","OUT","NOV","DEZ"))</f>
        <v>03-MAR</v>
      </c>
    </row>
    <row r="44" spans="1:11" x14ac:dyDescent="0.3">
      <c r="A44" s="21">
        <v>45717</v>
      </c>
      <c r="B44" s="22">
        <f>IF(tbLancamentos[[#This Row],[Data]]="","",MONTH(tbLancamentos[[#This Row],[Data]]))</f>
        <v>3</v>
      </c>
      <c r="C44" s="23">
        <v>13</v>
      </c>
      <c r="D44" s="22" t="str">
        <f>IF(tbLancamentos[[#This Row],[Código]]="","",IFERROR(INDEX(tbCategorias[Grupo],MATCH(tbLancamentos[[#This Row],[Código]],tbCategorias[Código],0)),"CÓDIGO INVÁLIDO"))</f>
        <v>Alimentação</v>
      </c>
      <c r="E44" s="22" t="str">
        <f>IF(tbLancamentos[[#This Row],[Código]]="","",IFERROR(INDEX(tbCategorias[Subcategoria],MATCH(tbLancamentos[[#This Row],[Código]],tbCategorias[Código],0)),"CÓDIGO INVÁLIDO"))</f>
        <v>Café / Almoço</v>
      </c>
      <c r="F44" s="23" t="s">
        <v>127</v>
      </c>
      <c r="G44" s="24">
        <v>250</v>
      </c>
      <c r="H44" s="23"/>
      <c r="I44" s="23"/>
      <c r="J44" s="23" t="s">
        <v>122</v>
      </c>
      <c r="K44" s="23" t="str">
        <f>IF(tbLancamentos[[#This Row],[Data]]="","",TEXT(tbLancamentos[[#This Row],[Mês]],"00")&amp;"-"&amp;CHOOSE(tbLancamentos[[#This Row],[Mês]],"JAN","FEV","MAR","ABR","MAI","JUN","JUL","AGO","SET","OUT","NOV","DEZ"))</f>
        <v>03-MAR</v>
      </c>
    </row>
    <row r="45" spans="1:11" x14ac:dyDescent="0.3">
      <c r="A45" s="21">
        <v>45717</v>
      </c>
      <c r="B45" s="22">
        <f>IF(tbLancamentos[[#This Row],[Data]]="","",MONTH(tbLancamentos[[#This Row],[Data]]))</f>
        <v>3</v>
      </c>
      <c r="C45" s="23">
        <v>15</v>
      </c>
      <c r="D45" s="22" t="str">
        <f>IF(tbLancamentos[[#This Row],[Código]]="","",IFERROR(INDEX(tbCategorias[Grupo],MATCH(tbLancamentos[[#This Row],[Código]],tbCategorias[Código],0)),"CÓDIGO INVÁLIDO"))</f>
        <v>Comunicação</v>
      </c>
      <c r="E45" s="22" t="str">
        <f>IF(tbLancamentos[[#This Row],[Código]]="","",IFERROR(INDEX(tbCategorias[Subcategoria],MATCH(tbLancamentos[[#This Row],[Código]],tbCategorias[Código],0)),"CÓDIGO INVÁLIDO"))</f>
        <v>Celular</v>
      </c>
      <c r="F45" s="23" t="s">
        <v>128</v>
      </c>
      <c r="G45" s="24">
        <v>45</v>
      </c>
      <c r="H45" s="23"/>
      <c r="I45" s="23"/>
      <c r="J45" s="23" t="s">
        <v>122</v>
      </c>
      <c r="K45" s="23" t="str">
        <f>IF(tbLancamentos[[#This Row],[Data]]="","",TEXT(tbLancamentos[[#This Row],[Mês]],"00")&amp;"-"&amp;CHOOSE(tbLancamentos[[#This Row],[Mês]],"JAN","FEV","MAR","ABR","MAI","JUN","JUL","AGO","SET","OUT","NOV","DEZ"))</f>
        <v>03-MAR</v>
      </c>
    </row>
    <row r="46" spans="1:11" x14ac:dyDescent="0.3">
      <c r="A46" s="21">
        <v>45717</v>
      </c>
      <c r="B46" s="22">
        <f>IF(tbLancamentos[[#This Row],[Data]]="","",MONTH(tbLancamentos[[#This Row],[Data]]))</f>
        <v>3</v>
      </c>
      <c r="C46" s="23">
        <v>16</v>
      </c>
      <c r="D46" s="22" t="str">
        <f>IF(tbLancamentos[[#This Row],[Código]]="","",IFERROR(INDEX(tbCategorias[Grupo],MATCH(tbLancamentos[[#This Row],[Código]],tbCategorias[Código],0)),"CÓDIGO INVÁLIDO"))</f>
        <v>Comunicação</v>
      </c>
      <c r="E46" s="22" t="str">
        <f>IF(tbLancamentos[[#This Row],[Código]]="","",IFERROR(INDEX(tbCategorias[Subcategoria],MATCH(tbLancamentos[[#This Row],[Código]],tbCategorias[Código],0)),"CÓDIGO INVÁLIDO"))</f>
        <v>Internet</v>
      </c>
      <c r="F46" s="23" t="s">
        <v>129</v>
      </c>
      <c r="G46" s="24">
        <v>89</v>
      </c>
      <c r="H46" s="23"/>
      <c r="I46" s="23"/>
      <c r="J46" s="23" t="s">
        <v>122</v>
      </c>
      <c r="K46" s="23" t="str">
        <f>IF(tbLancamentos[[#This Row],[Data]]="","",TEXT(tbLancamentos[[#This Row],[Mês]],"00")&amp;"-"&amp;CHOOSE(tbLancamentos[[#This Row],[Mês]],"JAN","FEV","MAR","ABR","MAI","JUN","JUL","AGO","SET","OUT","NOV","DEZ"))</f>
        <v>03-MAR</v>
      </c>
    </row>
    <row r="47" spans="1:11" x14ac:dyDescent="0.3">
      <c r="A47" s="21">
        <v>45717</v>
      </c>
      <c r="B47" s="22">
        <f>IF(tbLancamentos[[#This Row],[Data]]="","",MONTH(tbLancamentos[[#This Row],[Data]]))</f>
        <v>3</v>
      </c>
      <c r="C47" s="23">
        <v>17</v>
      </c>
      <c r="D47" s="22" t="str">
        <f>IF(tbLancamentos[[#This Row],[Código]]="","",IFERROR(INDEX(tbCategorias[Grupo],MATCH(tbLancamentos[[#This Row],[Código]],tbCategorias[Código],0)),"CÓDIGO INVÁLIDO"))</f>
        <v>Comunicação</v>
      </c>
      <c r="E47" s="22" t="str">
        <f>IF(tbLancamentos[[#This Row],[Código]]="","",IFERROR(INDEX(tbCategorias[Subcategoria],MATCH(tbLancamentos[[#This Row],[Código]],tbCategorias[Código],0)),"CÓDIGO INVÁLIDO"))</f>
        <v>Streaming (outros)</v>
      </c>
      <c r="F47" s="23" t="s">
        <v>130</v>
      </c>
      <c r="G47" s="24">
        <v>24</v>
      </c>
      <c r="H47" s="23"/>
      <c r="I47" s="23"/>
      <c r="J47" s="23" t="s">
        <v>122</v>
      </c>
      <c r="K47" s="23" t="str">
        <f>IF(tbLancamentos[[#This Row],[Data]]="","",TEXT(tbLancamentos[[#This Row],[Mês]],"00")&amp;"-"&amp;CHOOSE(tbLancamentos[[#This Row],[Mês]],"JAN","FEV","MAR","ABR","MAI","JUN","JUL","AGO","SET","OUT","NOV","DEZ"))</f>
        <v>03-MAR</v>
      </c>
    </row>
    <row r="48" spans="1:11" x14ac:dyDescent="0.3">
      <c r="A48" s="21">
        <v>45717</v>
      </c>
      <c r="B48" s="22">
        <f>IF(tbLancamentos[[#This Row],[Data]]="","",MONTH(tbLancamentos[[#This Row],[Data]]))</f>
        <v>3</v>
      </c>
      <c r="C48" s="23">
        <v>18</v>
      </c>
      <c r="D48" s="22" t="str">
        <f>IF(tbLancamentos[[#This Row],[Código]]="","",IFERROR(INDEX(tbCategorias[Grupo],MATCH(tbLancamentos[[#This Row],[Código]],tbCategorias[Código],0)),"CÓDIGO INVÁLIDO"))</f>
        <v>Comunicação</v>
      </c>
      <c r="E48" s="22" t="str">
        <f>IF(tbLancamentos[[#This Row],[Código]]="","",IFERROR(INDEX(tbCategorias[Subcategoria],MATCH(tbLancamentos[[#This Row],[Código]],tbCategorias[Código],0)),"CÓDIGO INVÁLIDO"))</f>
        <v>Netflix</v>
      </c>
      <c r="F48" s="23" t="s">
        <v>131</v>
      </c>
      <c r="G48" s="24">
        <v>22</v>
      </c>
      <c r="H48" s="23"/>
      <c r="I48" s="23"/>
      <c r="J48" s="23" t="s">
        <v>122</v>
      </c>
      <c r="K48" s="23" t="str">
        <f>IF(tbLancamentos[[#This Row],[Data]]="","",TEXT(tbLancamentos[[#This Row],[Mês]],"00")&amp;"-"&amp;CHOOSE(tbLancamentos[[#This Row],[Mês]],"JAN","FEV","MAR","ABR","MAI","JUN","JUL","AGO","SET","OUT","NOV","DEZ"))</f>
        <v>03-MAR</v>
      </c>
    </row>
    <row r="49" spans="1:11" x14ac:dyDescent="0.3">
      <c r="A49" s="21">
        <v>45717</v>
      </c>
      <c r="B49" s="22">
        <f>IF(tbLancamentos[[#This Row],[Data]]="","",MONTH(tbLancamentos[[#This Row],[Data]]))</f>
        <v>3</v>
      </c>
      <c r="C49" s="23">
        <v>19</v>
      </c>
      <c r="D49" s="22" t="str">
        <f>IF(tbLancamentos[[#This Row],[Código]]="","",IFERROR(INDEX(tbCategorias[Grupo],MATCH(tbLancamentos[[#This Row],[Código]],tbCategorias[Código],0)),"CÓDIGO INVÁLIDO"))</f>
        <v>Comunicação</v>
      </c>
      <c r="E49" s="22" t="str">
        <f>IF(tbLancamentos[[#This Row],[Código]]="","",IFERROR(INDEX(tbCategorias[Subcategoria],MATCH(tbLancamentos[[#This Row],[Código]],tbCategorias[Código],0)),"CÓDIGO INVÁLIDO"))</f>
        <v>Amazon Prime</v>
      </c>
      <c r="F49" s="23" t="s">
        <v>132</v>
      </c>
      <c r="G49" s="24">
        <v>11</v>
      </c>
      <c r="H49" s="23"/>
      <c r="I49" s="23"/>
      <c r="J49" s="23" t="s">
        <v>122</v>
      </c>
      <c r="K49" s="23" t="str">
        <f>IF(tbLancamentos[[#This Row],[Data]]="","",TEXT(tbLancamentos[[#This Row],[Mês]],"00")&amp;"-"&amp;CHOOSE(tbLancamentos[[#This Row],[Mês]],"JAN","FEV","MAR","ABR","MAI","JUN","JUL","AGO","SET","OUT","NOV","DEZ"))</f>
        <v>03-MAR</v>
      </c>
    </row>
    <row r="50" spans="1:11" x14ac:dyDescent="0.3">
      <c r="A50" s="21">
        <v>45717</v>
      </c>
      <c r="B50" s="22">
        <f>IF(tbLancamentos[[#This Row],[Data]]="","",MONTH(tbLancamentos[[#This Row],[Data]]))</f>
        <v>3</v>
      </c>
      <c r="C50" s="23">
        <v>20</v>
      </c>
      <c r="D50" s="22" t="str">
        <f>IF(tbLancamentos[[#This Row],[Código]]="","",IFERROR(INDEX(tbCategorias[Grupo],MATCH(tbLancamentos[[#This Row],[Código]],tbCategorias[Código],0)),"CÓDIGO INVÁLIDO"))</f>
        <v>Comunicação</v>
      </c>
      <c r="E50" s="22" t="str">
        <f>IF(tbLancamentos[[#This Row],[Código]]="","",IFERROR(INDEX(tbCategorias[Subcategoria],MATCH(tbLancamentos[[#This Row],[Código]],tbCategorias[Código],0)),"CÓDIGO INVÁLIDO"))</f>
        <v>Max</v>
      </c>
      <c r="F50" s="23" t="s">
        <v>133</v>
      </c>
      <c r="G50" s="24">
        <v>45</v>
      </c>
      <c r="H50" s="23"/>
      <c r="I50" s="23"/>
      <c r="J50" s="23" t="s">
        <v>122</v>
      </c>
      <c r="K50" s="23" t="str">
        <f>IF(tbLancamentos[[#This Row],[Data]]="","",TEXT(tbLancamentos[[#This Row],[Mês]],"00")&amp;"-"&amp;CHOOSE(tbLancamentos[[#This Row],[Mês]],"JAN","FEV","MAR","ABR","MAI","JUN","JUL","AGO","SET","OUT","NOV","DEZ"))</f>
        <v>03-MAR</v>
      </c>
    </row>
    <row r="51" spans="1:11" x14ac:dyDescent="0.3">
      <c r="A51" s="21">
        <v>45717</v>
      </c>
      <c r="B51" s="22">
        <f>IF(tbLancamentos[[#This Row],[Data]]="","",MONTH(tbLancamentos[[#This Row],[Data]]))</f>
        <v>3</v>
      </c>
      <c r="C51" s="23">
        <v>40</v>
      </c>
      <c r="D51" s="22" t="str">
        <f>IF(tbLancamentos[[#This Row],[Código]]="","",IFERROR(INDEX(tbCategorias[Grupo],MATCH(tbLancamentos[[#This Row],[Código]],tbCategorias[Código],0)),"CÓDIGO INVÁLIDO"))</f>
        <v>Transporte</v>
      </c>
      <c r="E51" s="22" t="str">
        <f>IF(tbLancamentos[[#This Row],[Código]]="","",IFERROR(INDEX(tbCategorias[Subcategoria],MATCH(tbLancamentos[[#This Row],[Código]],tbCategorias[Código],0)),"CÓDIGO INVÁLIDO"))</f>
        <v>Aplicativos (Uber / 99)</v>
      </c>
      <c r="F51" s="23" t="s">
        <v>134</v>
      </c>
      <c r="G51" s="24">
        <v>45</v>
      </c>
      <c r="H51" s="23"/>
      <c r="I51" s="23"/>
      <c r="J51" s="23" t="s">
        <v>122</v>
      </c>
      <c r="K51" s="23" t="str">
        <f>IF(tbLancamentos[[#This Row],[Data]]="","",TEXT(tbLancamentos[[#This Row],[Mês]],"00")&amp;"-"&amp;CHOOSE(tbLancamentos[[#This Row],[Mês]],"JAN","FEV","MAR","ABR","MAI","JUN","JUL","AGO","SET","OUT","NOV","DEZ"))</f>
        <v>03-MAR</v>
      </c>
    </row>
    <row r="52" spans="1:11" x14ac:dyDescent="0.3">
      <c r="A52" s="21">
        <v>45717</v>
      </c>
      <c r="B52" s="22">
        <f>IF(tbLancamentos[[#This Row],[Data]]="","",MONTH(tbLancamentos[[#This Row],[Data]]))</f>
        <v>3</v>
      </c>
      <c r="C52" s="23">
        <v>43</v>
      </c>
      <c r="D52" s="22" t="str">
        <f>IF(tbLancamentos[[#This Row],[Código]]="","",IFERROR(INDEX(tbCategorias[Grupo],MATCH(tbLancamentos[[#This Row],[Código]],tbCategorias[Código],0)),"CÓDIGO INVÁLIDO"))</f>
        <v>Transporte</v>
      </c>
      <c r="E52" s="22" t="str">
        <f>IF(tbLancamentos[[#This Row],[Código]]="","",IFERROR(INDEX(tbCategorias[Subcategoria],MATCH(tbLancamentos[[#This Row],[Código]],tbCategorias[Código],0)),"CÓDIGO INVÁLIDO"))</f>
        <v>Transporte Trabalho (Jhenis)</v>
      </c>
      <c r="F52" s="23" t="s">
        <v>135</v>
      </c>
      <c r="G52" s="24">
        <v>143</v>
      </c>
      <c r="H52" s="23"/>
      <c r="I52" s="23"/>
      <c r="J52" s="23" t="s">
        <v>122</v>
      </c>
      <c r="K52" s="23" t="str">
        <f>IF(tbLancamentos[[#This Row],[Data]]="","",TEXT(tbLancamentos[[#This Row],[Mês]],"00")&amp;"-"&amp;CHOOSE(tbLancamentos[[#This Row],[Mês]],"JAN","FEV","MAR","ABR","MAI","JUN","JUL","AGO","SET","OUT","NOV","DEZ"))</f>
        <v>03-MAR</v>
      </c>
    </row>
    <row r="53" spans="1:11" x14ac:dyDescent="0.3">
      <c r="A53" s="21">
        <v>45717</v>
      </c>
      <c r="B53" s="22">
        <f>IF(tbLancamentos[[#This Row],[Data]]="","",MONTH(tbLancamentos[[#This Row],[Data]]))</f>
        <v>3</v>
      </c>
      <c r="C53" s="23">
        <v>44</v>
      </c>
      <c r="D53" s="22" t="str">
        <f>IF(tbLancamentos[[#This Row],[Código]]="","",IFERROR(INDEX(tbCategorias[Grupo],MATCH(tbLancamentos[[#This Row],[Código]],tbCategorias[Código],0)),"CÓDIGO INVÁLIDO"))</f>
        <v>Transporte</v>
      </c>
      <c r="E53" s="22" t="str">
        <f>IF(tbLancamentos[[#This Row],[Código]]="","",IFERROR(INDEX(tbCategorias[Subcategoria],MATCH(tbLancamentos[[#This Row],[Código]],tbCategorias[Código],0)),"CÓDIGO INVÁLIDO"))</f>
        <v>Transporte Trabalho (Matheus)</v>
      </c>
      <c r="F53" s="23" t="s">
        <v>136</v>
      </c>
      <c r="G53" s="24">
        <v>240</v>
      </c>
      <c r="H53" s="23"/>
      <c r="I53" s="23"/>
      <c r="J53" s="23" t="s">
        <v>122</v>
      </c>
      <c r="K53" s="23" t="str">
        <f>IF(tbLancamentos[[#This Row],[Data]]="","",TEXT(tbLancamentos[[#This Row],[Mês]],"00")&amp;"-"&amp;CHOOSE(tbLancamentos[[#This Row],[Mês]],"JAN","FEV","MAR","ABR","MAI","JUN","JUL","AGO","SET","OUT","NOV","DEZ"))</f>
        <v>03-MAR</v>
      </c>
    </row>
    <row r="54" spans="1:11" x14ac:dyDescent="0.3">
      <c r="A54" s="21">
        <v>45717</v>
      </c>
      <c r="B54" s="22">
        <f>IF(tbLancamentos[[#This Row],[Data]]="","",MONTH(tbLancamentos[[#This Row],[Data]]))</f>
        <v>3</v>
      </c>
      <c r="C54" s="23">
        <v>4</v>
      </c>
      <c r="D54" s="22" t="str">
        <f>IF(tbLancamentos[[#This Row],[Código]]="","",IFERROR(INDEX(tbCategorias[Grupo],MATCH(tbLancamentos[[#This Row],[Código]],tbCategorias[Código],0)),"CÓDIGO INVÁLIDO"))</f>
        <v>Cartões e Dívidas</v>
      </c>
      <c r="E54" s="22" t="str">
        <f>IF(tbLancamentos[[#This Row],[Código]]="","",IFERROR(INDEX(tbCategorias[Subcategoria],MATCH(tbLancamentos[[#This Row],[Código]],tbCategorias[Código],0)),"CÓDIGO INVÁLIDO"))</f>
        <v>Cartão Jhenismara</v>
      </c>
      <c r="F54" s="23" t="s">
        <v>137</v>
      </c>
      <c r="G54" s="24">
        <v>1400</v>
      </c>
      <c r="H54" s="23"/>
      <c r="I54" s="23"/>
      <c r="J54" s="23" t="s">
        <v>122</v>
      </c>
      <c r="K54" s="23" t="str">
        <f>IF(tbLancamentos[[#This Row],[Data]]="","",TEXT(tbLancamentos[[#This Row],[Mês]],"00")&amp;"-"&amp;CHOOSE(tbLancamentos[[#This Row],[Mês]],"JAN","FEV","MAR","ABR","MAI","JUN","JUL","AGO","SET","OUT","NOV","DEZ"))</f>
        <v>03-MAR</v>
      </c>
    </row>
    <row r="55" spans="1:11" x14ac:dyDescent="0.3">
      <c r="A55" s="21">
        <v>45717</v>
      </c>
      <c r="B55" s="22">
        <f>IF(tbLancamentos[[#This Row],[Data]]="","",MONTH(tbLancamentos[[#This Row],[Data]]))</f>
        <v>3</v>
      </c>
      <c r="C55" s="23">
        <v>9</v>
      </c>
      <c r="D55" s="22" t="str">
        <f>IF(tbLancamentos[[#This Row],[Código]]="","",IFERROR(INDEX(tbCategorias[Grupo],MATCH(tbLancamentos[[#This Row],[Código]],tbCategorias[Código],0)),"CÓDIGO INVÁLIDO"))</f>
        <v>Cartões e Dívidas</v>
      </c>
      <c r="E55" s="22" t="str">
        <f>IF(tbLancamentos[[#This Row],[Código]]="","",IFERROR(INDEX(tbCategorias[Subcategoria],MATCH(tbLancamentos[[#This Row],[Código]],tbCategorias[Código],0)),"CÓDIGO INVÁLIDO"))</f>
        <v>Cartão Matheus</v>
      </c>
      <c r="F55" s="23" t="s">
        <v>138</v>
      </c>
      <c r="G55" s="24">
        <v>175</v>
      </c>
      <c r="H55" s="23"/>
      <c r="I55" s="23"/>
      <c r="J55" s="23" t="s">
        <v>122</v>
      </c>
      <c r="K55" s="23" t="str">
        <f>IF(tbLancamentos[[#This Row],[Data]]="","",TEXT(tbLancamentos[[#This Row],[Mês]],"00")&amp;"-"&amp;CHOOSE(tbLancamentos[[#This Row],[Mês]],"JAN","FEV","MAR","ABR","MAI","JUN","JUL","AGO","SET","OUT","NOV","DEZ"))</f>
        <v>03-MAR</v>
      </c>
    </row>
    <row r="56" spans="1:11" x14ac:dyDescent="0.3">
      <c r="A56" s="21">
        <v>45748</v>
      </c>
      <c r="B56" s="22">
        <f>IF(tbLancamentos[[#This Row],[Data]]="","",MONTH(tbLancamentos[[#This Row],[Data]]))</f>
        <v>4</v>
      </c>
      <c r="C56" s="23">
        <v>6</v>
      </c>
      <c r="D56" s="22" t="str">
        <f>IF(tbLancamentos[[#This Row],[Código]]="","",IFERROR(INDEX(tbCategorias[Grupo],MATCH(tbLancamentos[[#This Row],[Código]],tbCategorias[Código],0)),"CÓDIGO INVÁLIDO"))</f>
        <v>Moradia</v>
      </c>
      <c r="E56" s="22" t="str">
        <f>IF(tbLancamentos[[#This Row],[Código]]="","",IFERROR(INDEX(tbCategorias[Subcategoria],MATCH(tbLancamentos[[#This Row],[Código]],tbCategorias[Código],0)),"CÓDIGO INVÁLIDO"))</f>
        <v>Energia</v>
      </c>
      <c r="F56" s="23" t="s">
        <v>121</v>
      </c>
      <c r="G56" s="24">
        <v>150</v>
      </c>
      <c r="H56" s="23"/>
      <c r="I56" s="23"/>
      <c r="J56" s="23" t="s">
        <v>122</v>
      </c>
      <c r="K56" s="23" t="str">
        <f>IF(tbLancamentos[[#This Row],[Data]]="","",TEXT(tbLancamentos[[#This Row],[Mês]],"00")&amp;"-"&amp;CHOOSE(tbLancamentos[[#This Row],[Mês]],"JAN","FEV","MAR","ABR","MAI","JUN","JUL","AGO","SET","OUT","NOV","DEZ"))</f>
        <v>04-ABR</v>
      </c>
    </row>
    <row r="57" spans="1:11" x14ac:dyDescent="0.3">
      <c r="A57" s="21">
        <v>45748</v>
      </c>
      <c r="B57" s="22">
        <f>IF(tbLancamentos[[#This Row],[Data]]="","",MONTH(tbLancamentos[[#This Row],[Data]]))</f>
        <v>4</v>
      </c>
      <c r="C57" s="23">
        <v>7</v>
      </c>
      <c r="D57" s="22" t="str">
        <f>IF(tbLancamentos[[#This Row],[Código]]="","",IFERROR(INDEX(tbCategorias[Grupo],MATCH(tbLancamentos[[#This Row],[Código]],tbCategorias[Código],0)),"CÓDIGO INVÁLIDO"))</f>
        <v>Moradia</v>
      </c>
      <c r="E57" s="22" t="str">
        <f>IF(tbLancamentos[[#This Row],[Código]]="","",IFERROR(INDEX(tbCategorias[Subcategoria],MATCH(tbLancamentos[[#This Row],[Código]],tbCategorias[Código],0)),"CÓDIGO INVÁLIDO"))</f>
        <v>Água</v>
      </c>
      <c r="F57" s="23" t="s">
        <v>123</v>
      </c>
      <c r="G57" s="24">
        <v>77</v>
      </c>
      <c r="H57" s="23"/>
      <c r="I57" s="23"/>
      <c r="J57" s="23" t="s">
        <v>122</v>
      </c>
      <c r="K57" s="23" t="str">
        <f>IF(tbLancamentos[[#This Row],[Data]]="","",TEXT(tbLancamentos[[#This Row],[Mês]],"00")&amp;"-"&amp;CHOOSE(tbLancamentos[[#This Row],[Mês]],"JAN","FEV","MAR","ABR","MAI","JUN","JUL","AGO","SET","OUT","NOV","DEZ"))</f>
        <v>04-ABR</v>
      </c>
    </row>
    <row r="58" spans="1:11" x14ac:dyDescent="0.3">
      <c r="A58" s="21">
        <v>45748</v>
      </c>
      <c r="B58" s="22">
        <f>IF(tbLancamentos[[#This Row],[Data]]="","",MONTH(tbLancamentos[[#This Row],[Data]]))</f>
        <v>4</v>
      </c>
      <c r="C58" s="23">
        <v>8</v>
      </c>
      <c r="D58" s="22" t="str">
        <f>IF(tbLancamentos[[#This Row],[Código]]="","",IFERROR(INDEX(tbCategorias[Grupo],MATCH(tbLancamentos[[#This Row],[Código]],tbCategorias[Código],0)),"CÓDIGO INVÁLIDO"))</f>
        <v>Moradia</v>
      </c>
      <c r="E58" s="22" t="str">
        <f>IF(tbLancamentos[[#This Row],[Código]]="","",IFERROR(INDEX(tbCategorias[Subcategoria],MATCH(tbLancamentos[[#This Row],[Código]],tbCategorias[Código],0)),"CÓDIGO INVÁLIDO"))</f>
        <v>Gás</v>
      </c>
      <c r="F58" s="23" t="s">
        <v>124</v>
      </c>
      <c r="G58" s="24">
        <v>55</v>
      </c>
      <c r="H58" s="23"/>
      <c r="I58" s="23"/>
      <c r="J58" s="23" t="s">
        <v>122</v>
      </c>
      <c r="K58" s="23" t="str">
        <f>IF(tbLancamentos[[#This Row],[Data]]="","",TEXT(tbLancamentos[[#This Row],[Mês]],"00")&amp;"-"&amp;CHOOSE(tbLancamentos[[#This Row],[Mês]],"JAN","FEV","MAR","ABR","MAI","JUN","JUL","AGO","SET","OUT","NOV","DEZ"))</f>
        <v>04-ABR</v>
      </c>
    </row>
    <row r="59" spans="1:11" x14ac:dyDescent="0.3">
      <c r="A59" s="21">
        <v>45748</v>
      </c>
      <c r="B59" s="22">
        <f>IF(tbLancamentos[[#This Row],[Data]]="","",MONTH(tbLancamentos[[#This Row],[Data]]))</f>
        <v>4</v>
      </c>
      <c r="C59" s="23">
        <v>11</v>
      </c>
      <c r="D59" s="22" t="str">
        <f>IF(tbLancamentos[[#This Row],[Código]]="","",IFERROR(INDEX(tbCategorias[Grupo],MATCH(tbLancamentos[[#This Row],[Código]],tbCategorias[Código],0)),"CÓDIGO INVÁLIDO"))</f>
        <v>Alimentação</v>
      </c>
      <c r="E59" s="22" t="str">
        <f>IF(tbLancamentos[[#This Row],[Código]]="","",IFERROR(INDEX(tbCategorias[Subcategoria],MATCH(tbLancamentos[[#This Row],[Código]],tbCategorias[Código],0)),"CÓDIGO INVÁLIDO"))</f>
        <v>Supermercado</v>
      </c>
      <c r="F59" s="23" t="s">
        <v>125</v>
      </c>
      <c r="G59" s="24">
        <v>450</v>
      </c>
      <c r="H59" s="23"/>
      <c r="I59" s="23"/>
      <c r="J59" s="23" t="s">
        <v>122</v>
      </c>
      <c r="K59" s="23" t="str">
        <f>IF(tbLancamentos[[#This Row],[Data]]="","",TEXT(tbLancamentos[[#This Row],[Mês]],"00")&amp;"-"&amp;CHOOSE(tbLancamentos[[#This Row],[Mês]],"JAN","FEV","MAR","ABR","MAI","JUN","JUL","AGO","SET","OUT","NOV","DEZ"))</f>
        <v>04-ABR</v>
      </c>
    </row>
    <row r="60" spans="1:11" x14ac:dyDescent="0.3">
      <c r="A60" s="21">
        <v>45748</v>
      </c>
      <c r="B60" s="22">
        <f>IF(tbLancamentos[[#This Row],[Data]]="","",MONTH(tbLancamentos[[#This Row],[Data]]))</f>
        <v>4</v>
      </c>
      <c r="C60" s="23">
        <v>12</v>
      </c>
      <c r="D60" s="22" t="str">
        <f>IF(tbLancamentos[[#This Row],[Código]]="","",IFERROR(INDEX(tbCategorias[Grupo],MATCH(tbLancamentos[[#This Row],[Código]],tbCategorias[Código],0)),"CÓDIGO INVÁLIDO"))</f>
        <v>Alimentação</v>
      </c>
      <c r="E60" s="22" t="str">
        <f>IF(tbLancamentos[[#This Row],[Código]]="","",IFERROR(INDEX(tbCategorias[Subcategoria],MATCH(tbLancamentos[[#This Row],[Código]],tbCategorias[Código],0)),"CÓDIGO INVÁLIDO"))</f>
        <v>Restaurante</v>
      </c>
      <c r="F60" s="23" t="s">
        <v>126</v>
      </c>
      <c r="G60" s="24">
        <v>140</v>
      </c>
      <c r="H60" s="23"/>
      <c r="I60" s="23"/>
      <c r="J60" s="23" t="s">
        <v>122</v>
      </c>
      <c r="K60" s="23" t="str">
        <f>IF(tbLancamentos[[#This Row],[Data]]="","",TEXT(tbLancamentos[[#This Row],[Mês]],"00")&amp;"-"&amp;CHOOSE(tbLancamentos[[#This Row],[Mês]],"JAN","FEV","MAR","ABR","MAI","JUN","JUL","AGO","SET","OUT","NOV","DEZ"))</f>
        <v>04-ABR</v>
      </c>
    </row>
    <row r="61" spans="1:11" x14ac:dyDescent="0.3">
      <c r="A61" s="21">
        <v>45748</v>
      </c>
      <c r="B61" s="22">
        <f>IF(tbLancamentos[[#This Row],[Data]]="","",MONTH(tbLancamentos[[#This Row],[Data]]))</f>
        <v>4</v>
      </c>
      <c r="C61" s="23">
        <v>13</v>
      </c>
      <c r="D61" s="22" t="str">
        <f>IF(tbLancamentos[[#This Row],[Código]]="","",IFERROR(INDEX(tbCategorias[Grupo],MATCH(tbLancamentos[[#This Row],[Código]],tbCategorias[Código],0)),"CÓDIGO INVÁLIDO"))</f>
        <v>Alimentação</v>
      </c>
      <c r="E61" s="22" t="str">
        <f>IF(tbLancamentos[[#This Row],[Código]]="","",IFERROR(INDEX(tbCategorias[Subcategoria],MATCH(tbLancamentos[[#This Row],[Código]],tbCategorias[Código],0)),"CÓDIGO INVÁLIDO"))</f>
        <v>Café / Almoço</v>
      </c>
      <c r="F61" s="23" t="s">
        <v>127</v>
      </c>
      <c r="G61" s="24">
        <v>250</v>
      </c>
      <c r="H61" s="23"/>
      <c r="I61" s="23"/>
      <c r="J61" s="23" t="s">
        <v>122</v>
      </c>
      <c r="K61" s="23" t="str">
        <f>IF(tbLancamentos[[#This Row],[Data]]="","",TEXT(tbLancamentos[[#This Row],[Mês]],"00")&amp;"-"&amp;CHOOSE(tbLancamentos[[#This Row],[Mês]],"JAN","FEV","MAR","ABR","MAI","JUN","JUL","AGO","SET","OUT","NOV","DEZ"))</f>
        <v>04-ABR</v>
      </c>
    </row>
    <row r="62" spans="1:11" x14ac:dyDescent="0.3">
      <c r="A62" s="21">
        <v>45748</v>
      </c>
      <c r="B62" s="22">
        <f>IF(tbLancamentos[[#This Row],[Data]]="","",MONTH(tbLancamentos[[#This Row],[Data]]))</f>
        <v>4</v>
      </c>
      <c r="C62" s="23">
        <v>15</v>
      </c>
      <c r="D62" s="22" t="str">
        <f>IF(tbLancamentos[[#This Row],[Código]]="","",IFERROR(INDEX(tbCategorias[Grupo],MATCH(tbLancamentos[[#This Row],[Código]],tbCategorias[Código],0)),"CÓDIGO INVÁLIDO"))</f>
        <v>Comunicação</v>
      </c>
      <c r="E62" s="22" t="str">
        <f>IF(tbLancamentos[[#This Row],[Código]]="","",IFERROR(INDEX(tbCategorias[Subcategoria],MATCH(tbLancamentos[[#This Row],[Código]],tbCategorias[Código],0)),"CÓDIGO INVÁLIDO"))</f>
        <v>Celular</v>
      </c>
      <c r="F62" s="23" t="s">
        <v>128</v>
      </c>
      <c r="G62" s="24">
        <v>45</v>
      </c>
      <c r="H62" s="23"/>
      <c r="I62" s="23"/>
      <c r="J62" s="23" t="s">
        <v>122</v>
      </c>
      <c r="K62" s="23" t="str">
        <f>IF(tbLancamentos[[#This Row],[Data]]="","",TEXT(tbLancamentos[[#This Row],[Mês]],"00")&amp;"-"&amp;CHOOSE(tbLancamentos[[#This Row],[Mês]],"JAN","FEV","MAR","ABR","MAI","JUN","JUL","AGO","SET","OUT","NOV","DEZ"))</f>
        <v>04-ABR</v>
      </c>
    </row>
    <row r="63" spans="1:11" x14ac:dyDescent="0.3">
      <c r="A63" s="21">
        <v>45748</v>
      </c>
      <c r="B63" s="22">
        <f>IF(tbLancamentos[[#This Row],[Data]]="","",MONTH(tbLancamentos[[#This Row],[Data]]))</f>
        <v>4</v>
      </c>
      <c r="C63" s="23">
        <v>16</v>
      </c>
      <c r="D63" s="22" t="str">
        <f>IF(tbLancamentos[[#This Row],[Código]]="","",IFERROR(INDEX(tbCategorias[Grupo],MATCH(tbLancamentos[[#This Row],[Código]],tbCategorias[Código],0)),"CÓDIGO INVÁLIDO"))</f>
        <v>Comunicação</v>
      </c>
      <c r="E63" s="22" t="str">
        <f>IF(tbLancamentos[[#This Row],[Código]]="","",IFERROR(INDEX(tbCategorias[Subcategoria],MATCH(tbLancamentos[[#This Row],[Código]],tbCategorias[Código],0)),"CÓDIGO INVÁLIDO"))</f>
        <v>Internet</v>
      </c>
      <c r="F63" s="23" t="s">
        <v>129</v>
      </c>
      <c r="G63" s="24">
        <v>89</v>
      </c>
      <c r="H63" s="23"/>
      <c r="I63" s="23"/>
      <c r="J63" s="23" t="s">
        <v>122</v>
      </c>
      <c r="K63" s="23" t="str">
        <f>IF(tbLancamentos[[#This Row],[Data]]="","",TEXT(tbLancamentos[[#This Row],[Mês]],"00")&amp;"-"&amp;CHOOSE(tbLancamentos[[#This Row],[Mês]],"JAN","FEV","MAR","ABR","MAI","JUN","JUL","AGO","SET","OUT","NOV","DEZ"))</f>
        <v>04-ABR</v>
      </c>
    </row>
    <row r="64" spans="1:11" x14ac:dyDescent="0.3">
      <c r="A64" s="21">
        <v>45748</v>
      </c>
      <c r="B64" s="22">
        <f>IF(tbLancamentos[[#This Row],[Data]]="","",MONTH(tbLancamentos[[#This Row],[Data]]))</f>
        <v>4</v>
      </c>
      <c r="C64" s="23">
        <v>17</v>
      </c>
      <c r="D64" s="22" t="str">
        <f>IF(tbLancamentos[[#This Row],[Código]]="","",IFERROR(INDEX(tbCategorias[Grupo],MATCH(tbLancamentos[[#This Row],[Código]],tbCategorias[Código],0)),"CÓDIGO INVÁLIDO"))</f>
        <v>Comunicação</v>
      </c>
      <c r="E64" s="22" t="str">
        <f>IF(tbLancamentos[[#This Row],[Código]]="","",IFERROR(INDEX(tbCategorias[Subcategoria],MATCH(tbLancamentos[[#This Row],[Código]],tbCategorias[Código],0)),"CÓDIGO INVÁLIDO"))</f>
        <v>Streaming (outros)</v>
      </c>
      <c r="F64" s="23" t="s">
        <v>130</v>
      </c>
      <c r="G64" s="24">
        <v>24</v>
      </c>
      <c r="H64" s="23"/>
      <c r="I64" s="23"/>
      <c r="J64" s="23" t="s">
        <v>122</v>
      </c>
      <c r="K64" s="23" t="str">
        <f>IF(tbLancamentos[[#This Row],[Data]]="","",TEXT(tbLancamentos[[#This Row],[Mês]],"00")&amp;"-"&amp;CHOOSE(tbLancamentos[[#This Row],[Mês]],"JAN","FEV","MAR","ABR","MAI","JUN","JUL","AGO","SET","OUT","NOV","DEZ"))</f>
        <v>04-ABR</v>
      </c>
    </row>
    <row r="65" spans="1:11" x14ac:dyDescent="0.3">
      <c r="A65" s="21">
        <v>45748</v>
      </c>
      <c r="B65" s="22">
        <f>IF(tbLancamentos[[#This Row],[Data]]="","",MONTH(tbLancamentos[[#This Row],[Data]]))</f>
        <v>4</v>
      </c>
      <c r="C65" s="23">
        <v>18</v>
      </c>
      <c r="D65" s="22" t="str">
        <f>IF(tbLancamentos[[#This Row],[Código]]="","",IFERROR(INDEX(tbCategorias[Grupo],MATCH(tbLancamentos[[#This Row],[Código]],tbCategorias[Código],0)),"CÓDIGO INVÁLIDO"))</f>
        <v>Comunicação</v>
      </c>
      <c r="E65" s="22" t="str">
        <f>IF(tbLancamentos[[#This Row],[Código]]="","",IFERROR(INDEX(tbCategorias[Subcategoria],MATCH(tbLancamentos[[#This Row],[Código]],tbCategorias[Código],0)),"CÓDIGO INVÁLIDO"))</f>
        <v>Netflix</v>
      </c>
      <c r="F65" s="23" t="s">
        <v>131</v>
      </c>
      <c r="G65" s="24">
        <v>22</v>
      </c>
      <c r="H65" s="23"/>
      <c r="I65" s="23"/>
      <c r="J65" s="23" t="s">
        <v>122</v>
      </c>
      <c r="K65" s="23" t="str">
        <f>IF(tbLancamentos[[#This Row],[Data]]="","",TEXT(tbLancamentos[[#This Row],[Mês]],"00")&amp;"-"&amp;CHOOSE(tbLancamentos[[#This Row],[Mês]],"JAN","FEV","MAR","ABR","MAI","JUN","JUL","AGO","SET","OUT","NOV","DEZ"))</f>
        <v>04-ABR</v>
      </c>
    </row>
    <row r="66" spans="1:11" x14ac:dyDescent="0.3">
      <c r="A66" s="21">
        <v>45748</v>
      </c>
      <c r="B66" s="22">
        <f>IF(tbLancamentos[[#This Row],[Data]]="","",MONTH(tbLancamentos[[#This Row],[Data]]))</f>
        <v>4</v>
      </c>
      <c r="C66" s="23">
        <v>19</v>
      </c>
      <c r="D66" s="22" t="str">
        <f>IF(tbLancamentos[[#This Row],[Código]]="","",IFERROR(INDEX(tbCategorias[Grupo],MATCH(tbLancamentos[[#This Row],[Código]],tbCategorias[Código],0)),"CÓDIGO INVÁLIDO"))</f>
        <v>Comunicação</v>
      </c>
      <c r="E66" s="22" t="str">
        <f>IF(tbLancamentos[[#This Row],[Código]]="","",IFERROR(INDEX(tbCategorias[Subcategoria],MATCH(tbLancamentos[[#This Row],[Código]],tbCategorias[Código],0)),"CÓDIGO INVÁLIDO"))</f>
        <v>Amazon Prime</v>
      </c>
      <c r="F66" s="23" t="s">
        <v>132</v>
      </c>
      <c r="G66" s="24">
        <v>11</v>
      </c>
      <c r="H66" s="23"/>
      <c r="I66" s="23"/>
      <c r="J66" s="23" t="s">
        <v>122</v>
      </c>
      <c r="K66" s="23" t="str">
        <f>IF(tbLancamentos[[#This Row],[Data]]="","",TEXT(tbLancamentos[[#This Row],[Mês]],"00")&amp;"-"&amp;CHOOSE(tbLancamentos[[#This Row],[Mês]],"JAN","FEV","MAR","ABR","MAI","JUN","JUL","AGO","SET","OUT","NOV","DEZ"))</f>
        <v>04-ABR</v>
      </c>
    </row>
    <row r="67" spans="1:11" x14ac:dyDescent="0.3">
      <c r="A67" s="21">
        <v>45748</v>
      </c>
      <c r="B67" s="22">
        <f>IF(tbLancamentos[[#This Row],[Data]]="","",MONTH(tbLancamentos[[#This Row],[Data]]))</f>
        <v>4</v>
      </c>
      <c r="C67" s="23">
        <v>20</v>
      </c>
      <c r="D67" s="22" t="str">
        <f>IF(tbLancamentos[[#This Row],[Código]]="","",IFERROR(INDEX(tbCategorias[Grupo],MATCH(tbLancamentos[[#This Row],[Código]],tbCategorias[Código],0)),"CÓDIGO INVÁLIDO"))</f>
        <v>Comunicação</v>
      </c>
      <c r="E67" s="22" t="str">
        <f>IF(tbLancamentos[[#This Row],[Código]]="","",IFERROR(INDEX(tbCategorias[Subcategoria],MATCH(tbLancamentos[[#This Row],[Código]],tbCategorias[Código],0)),"CÓDIGO INVÁLIDO"))</f>
        <v>Max</v>
      </c>
      <c r="F67" s="23" t="s">
        <v>133</v>
      </c>
      <c r="G67" s="24">
        <v>45</v>
      </c>
      <c r="H67" s="23"/>
      <c r="I67" s="23"/>
      <c r="J67" s="23" t="s">
        <v>122</v>
      </c>
      <c r="K67" s="23" t="str">
        <f>IF(tbLancamentos[[#This Row],[Data]]="","",TEXT(tbLancamentos[[#This Row],[Mês]],"00")&amp;"-"&amp;CHOOSE(tbLancamentos[[#This Row],[Mês]],"JAN","FEV","MAR","ABR","MAI","JUN","JUL","AGO","SET","OUT","NOV","DEZ"))</f>
        <v>04-ABR</v>
      </c>
    </row>
    <row r="68" spans="1:11" x14ac:dyDescent="0.3">
      <c r="A68" s="21">
        <v>45748</v>
      </c>
      <c r="B68" s="22">
        <f>IF(tbLancamentos[[#This Row],[Data]]="","",MONTH(tbLancamentos[[#This Row],[Data]]))</f>
        <v>4</v>
      </c>
      <c r="C68" s="23">
        <v>40</v>
      </c>
      <c r="D68" s="22" t="str">
        <f>IF(tbLancamentos[[#This Row],[Código]]="","",IFERROR(INDEX(tbCategorias[Grupo],MATCH(tbLancamentos[[#This Row],[Código]],tbCategorias[Código],0)),"CÓDIGO INVÁLIDO"))</f>
        <v>Transporte</v>
      </c>
      <c r="E68" s="22" t="str">
        <f>IF(tbLancamentos[[#This Row],[Código]]="","",IFERROR(INDEX(tbCategorias[Subcategoria],MATCH(tbLancamentos[[#This Row],[Código]],tbCategorias[Código],0)),"CÓDIGO INVÁLIDO"))</f>
        <v>Aplicativos (Uber / 99)</v>
      </c>
      <c r="F68" s="23" t="s">
        <v>134</v>
      </c>
      <c r="G68" s="24">
        <v>45</v>
      </c>
      <c r="H68" s="23"/>
      <c r="I68" s="23"/>
      <c r="J68" s="23" t="s">
        <v>122</v>
      </c>
      <c r="K68" s="23" t="str">
        <f>IF(tbLancamentos[[#This Row],[Data]]="","",TEXT(tbLancamentos[[#This Row],[Mês]],"00")&amp;"-"&amp;CHOOSE(tbLancamentos[[#This Row],[Mês]],"JAN","FEV","MAR","ABR","MAI","JUN","JUL","AGO","SET","OUT","NOV","DEZ"))</f>
        <v>04-ABR</v>
      </c>
    </row>
    <row r="69" spans="1:11" x14ac:dyDescent="0.3">
      <c r="A69" s="21">
        <v>45748</v>
      </c>
      <c r="B69" s="22">
        <f>IF(tbLancamentos[[#This Row],[Data]]="","",MONTH(tbLancamentos[[#This Row],[Data]]))</f>
        <v>4</v>
      </c>
      <c r="C69" s="23">
        <v>43</v>
      </c>
      <c r="D69" s="22" t="str">
        <f>IF(tbLancamentos[[#This Row],[Código]]="","",IFERROR(INDEX(tbCategorias[Grupo],MATCH(tbLancamentos[[#This Row],[Código]],tbCategorias[Código],0)),"CÓDIGO INVÁLIDO"))</f>
        <v>Transporte</v>
      </c>
      <c r="E69" s="22" t="str">
        <f>IF(tbLancamentos[[#This Row],[Código]]="","",IFERROR(INDEX(tbCategorias[Subcategoria],MATCH(tbLancamentos[[#This Row],[Código]],tbCategorias[Código],0)),"CÓDIGO INVÁLIDO"))</f>
        <v>Transporte Trabalho (Jhenis)</v>
      </c>
      <c r="F69" s="23" t="s">
        <v>135</v>
      </c>
      <c r="G69" s="24">
        <v>143</v>
      </c>
      <c r="H69" s="23"/>
      <c r="I69" s="23"/>
      <c r="J69" s="23" t="s">
        <v>122</v>
      </c>
      <c r="K69" s="23" t="str">
        <f>IF(tbLancamentos[[#This Row],[Data]]="","",TEXT(tbLancamentos[[#This Row],[Mês]],"00")&amp;"-"&amp;CHOOSE(tbLancamentos[[#This Row],[Mês]],"JAN","FEV","MAR","ABR","MAI","JUN","JUL","AGO","SET","OUT","NOV","DEZ"))</f>
        <v>04-ABR</v>
      </c>
    </row>
    <row r="70" spans="1:11" x14ac:dyDescent="0.3">
      <c r="A70" s="21">
        <v>45748</v>
      </c>
      <c r="B70" s="22">
        <f>IF(tbLancamentos[[#This Row],[Data]]="","",MONTH(tbLancamentos[[#This Row],[Data]]))</f>
        <v>4</v>
      </c>
      <c r="C70" s="23">
        <v>44</v>
      </c>
      <c r="D70" s="22" t="str">
        <f>IF(tbLancamentos[[#This Row],[Código]]="","",IFERROR(INDEX(tbCategorias[Grupo],MATCH(tbLancamentos[[#This Row],[Código]],tbCategorias[Código],0)),"CÓDIGO INVÁLIDO"))</f>
        <v>Transporte</v>
      </c>
      <c r="E70" s="22" t="str">
        <f>IF(tbLancamentos[[#This Row],[Código]]="","",IFERROR(INDEX(tbCategorias[Subcategoria],MATCH(tbLancamentos[[#This Row],[Código]],tbCategorias[Código],0)),"CÓDIGO INVÁLIDO"))</f>
        <v>Transporte Trabalho (Matheus)</v>
      </c>
      <c r="F70" s="23" t="s">
        <v>136</v>
      </c>
      <c r="G70" s="24">
        <v>240</v>
      </c>
      <c r="H70" s="23"/>
      <c r="I70" s="23"/>
      <c r="J70" s="23" t="s">
        <v>122</v>
      </c>
      <c r="K70" s="23" t="str">
        <f>IF(tbLancamentos[[#This Row],[Data]]="","",TEXT(tbLancamentos[[#This Row],[Mês]],"00")&amp;"-"&amp;CHOOSE(tbLancamentos[[#This Row],[Mês]],"JAN","FEV","MAR","ABR","MAI","JUN","JUL","AGO","SET","OUT","NOV","DEZ"))</f>
        <v>04-ABR</v>
      </c>
    </row>
    <row r="71" spans="1:11" x14ac:dyDescent="0.3">
      <c r="A71" s="21">
        <v>45748</v>
      </c>
      <c r="B71" s="22">
        <f>IF(tbLancamentos[[#This Row],[Data]]="","",MONTH(tbLancamentos[[#This Row],[Data]]))</f>
        <v>4</v>
      </c>
      <c r="C71" s="23">
        <v>4</v>
      </c>
      <c r="D71" s="22" t="str">
        <f>IF(tbLancamentos[[#This Row],[Código]]="","",IFERROR(INDEX(tbCategorias[Grupo],MATCH(tbLancamentos[[#This Row],[Código]],tbCategorias[Código],0)),"CÓDIGO INVÁLIDO"))</f>
        <v>Cartões e Dívidas</v>
      </c>
      <c r="E71" s="22" t="str">
        <f>IF(tbLancamentos[[#This Row],[Código]]="","",IFERROR(INDEX(tbCategorias[Subcategoria],MATCH(tbLancamentos[[#This Row],[Código]],tbCategorias[Código],0)),"CÓDIGO INVÁLIDO"))</f>
        <v>Cartão Jhenismara</v>
      </c>
      <c r="F71" s="23" t="s">
        <v>137</v>
      </c>
      <c r="G71" s="24">
        <v>1400</v>
      </c>
      <c r="H71" s="23"/>
      <c r="I71" s="23"/>
      <c r="J71" s="23" t="s">
        <v>122</v>
      </c>
      <c r="K71" s="23" t="str">
        <f>IF(tbLancamentos[[#This Row],[Data]]="","",TEXT(tbLancamentos[[#This Row],[Mês]],"00")&amp;"-"&amp;CHOOSE(tbLancamentos[[#This Row],[Mês]],"JAN","FEV","MAR","ABR","MAI","JUN","JUL","AGO","SET","OUT","NOV","DEZ"))</f>
        <v>04-ABR</v>
      </c>
    </row>
    <row r="72" spans="1:11" x14ac:dyDescent="0.3">
      <c r="A72" s="21">
        <v>45748</v>
      </c>
      <c r="B72" s="22">
        <f>IF(tbLancamentos[[#This Row],[Data]]="","",MONTH(tbLancamentos[[#This Row],[Data]]))</f>
        <v>4</v>
      </c>
      <c r="C72" s="23">
        <v>9</v>
      </c>
      <c r="D72" s="22" t="str">
        <f>IF(tbLancamentos[[#This Row],[Código]]="","",IFERROR(INDEX(tbCategorias[Grupo],MATCH(tbLancamentos[[#This Row],[Código]],tbCategorias[Código],0)),"CÓDIGO INVÁLIDO"))</f>
        <v>Cartões e Dívidas</v>
      </c>
      <c r="E72" s="22" t="str">
        <f>IF(tbLancamentos[[#This Row],[Código]]="","",IFERROR(INDEX(tbCategorias[Subcategoria],MATCH(tbLancamentos[[#This Row],[Código]],tbCategorias[Código],0)),"CÓDIGO INVÁLIDO"))</f>
        <v>Cartão Matheus</v>
      </c>
      <c r="F72" s="23" t="s">
        <v>138</v>
      </c>
      <c r="G72" s="24">
        <v>175</v>
      </c>
      <c r="H72" s="23"/>
      <c r="I72" s="23"/>
      <c r="J72" s="23" t="s">
        <v>122</v>
      </c>
      <c r="K72" s="23" t="str">
        <f>IF(tbLancamentos[[#This Row],[Data]]="","",TEXT(tbLancamentos[[#This Row],[Mês]],"00")&amp;"-"&amp;CHOOSE(tbLancamentos[[#This Row],[Mês]],"JAN","FEV","MAR","ABR","MAI","JUN","JUL","AGO","SET","OUT","NOV","DEZ"))</f>
        <v>04-ABR</v>
      </c>
    </row>
    <row r="73" spans="1:11" x14ac:dyDescent="0.3">
      <c r="A73" s="21">
        <v>45778</v>
      </c>
      <c r="B73" s="22">
        <f>IF(tbLancamentos[[#This Row],[Data]]="","",MONTH(tbLancamentos[[#This Row],[Data]]))</f>
        <v>5</v>
      </c>
      <c r="C73" s="23">
        <v>6</v>
      </c>
      <c r="D73" s="22" t="str">
        <f>IF(tbLancamentos[[#This Row],[Código]]="","",IFERROR(INDEX(tbCategorias[Grupo],MATCH(tbLancamentos[[#This Row],[Código]],tbCategorias[Código],0)),"CÓDIGO INVÁLIDO"))</f>
        <v>Moradia</v>
      </c>
      <c r="E73" s="22" t="str">
        <f>IF(tbLancamentos[[#This Row],[Código]]="","",IFERROR(INDEX(tbCategorias[Subcategoria],MATCH(tbLancamentos[[#This Row],[Código]],tbCategorias[Código],0)),"CÓDIGO INVÁLIDO"))</f>
        <v>Energia</v>
      </c>
      <c r="F73" s="23" t="s">
        <v>121</v>
      </c>
      <c r="G73" s="24">
        <v>150</v>
      </c>
      <c r="H73" s="23"/>
      <c r="I73" s="23"/>
      <c r="J73" s="23" t="s">
        <v>122</v>
      </c>
      <c r="K73" s="23" t="str">
        <f>IF(tbLancamentos[[#This Row],[Data]]="","",TEXT(tbLancamentos[[#This Row],[Mês]],"00")&amp;"-"&amp;CHOOSE(tbLancamentos[[#This Row],[Mês]],"JAN","FEV","MAR","ABR","MAI","JUN","JUL","AGO","SET","OUT","NOV","DEZ"))</f>
        <v>05-MAI</v>
      </c>
    </row>
    <row r="74" spans="1:11" x14ac:dyDescent="0.3">
      <c r="A74" s="21">
        <v>45778</v>
      </c>
      <c r="B74" s="22">
        <f>IF(tbLancamentos[[#This Row],[Data]]="","",MONTH(tbLancamentos[[#This Row],[Data]]))</f>
        <v>5</v>
      </c>
      <c r="C74" s="23">
        <v>7</v>
      </c>
      <c r="D74" s="22" t="str">
        <f>IF(tbLancamentos[[#This Row],[Código]]="","",IFERROR(INDEX(tbCategorias[Grupo],MATCH(tbLancamentos[[#This Row],[Código]],tbCategorias[Código],0)),"CÓDIGO INVÁLIDO"))</f>
        <v>Moradia</v>
      </c>
      <c r="E74" s="22" t="str">
        <f>IF(tbLancamentos[[#This Row],[Código]]="","",IFERROR(INDEX(tbCategorias[Subcategoria],MATCH(tbLancamentos[[#This Row],[Código]],tbCategorias[Código],0)),"CÓDIGO INVÁLIDO"))</f>
        <v>Água</v>
      </c>
      <c r="F74" s="23" t="s">
        <v>123</v>
      </c>
      <c r="G74" s="24">
        <v>77</v>
      </c>
      <c r="H74" s="23"/>
      <c r="I74" s="23"/>
      <c r="J74" s="23" t="s">
        <v>122</v>
      </c>
      <c r="K74" s="23" t="str">
        <f>IF(tbLancamentos[[#This Row],[Data]]="","",TEXT(tbLancamentos[[#This Row],[Mês]],"00")&amp;"-"&amp;CHOOSE(tbLancamentos[[#This Row],[Mês]],"JAN","FEV","MAR","ABR","MAI","JUN","JUL","AGO","SET","OUT","NOV","DEZ"))</f>
        <v>05-MAI</v>
      </c>
    </row>
    <row r="75" spans="1:11" x14ac:dyDescent="0.3">
      <c r="A75" s="21">
        <v>45778</v>
      </c>
      <c r="B75" s="22">
        <f>IF(tbLancamentos[[#This Row],[Data]]="","",MONTH(tbLancamentos[[#This Row],[Data]]))</f>
        <v>5</v>
      </c>
      <c r="C75" s="23">
        <v>8</v>
      </c>
      <c r="D75" s="22" t="str">
        <f>IF(tbLancamentos[[#This Row],[Código]]="","",IFERROR(INDEX(tbCategorias[Grupo],MATCH(tbLancamentos[[#This Row],[Código]],tbCategorias[Código],0)),"CÓDIGO INVÁLIDO"))</f>
        <v>Moradia</v>
      </c>
      <c r="E75" s="22" t="str">
        <f>IF(tbLancamentos[[#This Row],[Código]]="","",IFERROR(INDEX(tbCategorias[Subcategoria],MATCH(tbLancamentos[[#This Row],[Código]],tbCategorias[Código],0)),"CÓDIGO INVÁLIDO"))</f>
        <v>Gás</v>
      </c>
      <c r="F75" s="23" t="s">
        <v>124</v>
      </c>
      <c r="G75" s="24">
        <v>55</v>
      </c>
      <c r="H75" s="23"/>
      <c r="I75" s="23"/>
      <c r="J75" s="23" t="s">
        <v>122</v>
      </c>
      <c r="K75" s="23" t="str">
        <f>IF(tbLancamentos[[#This Row],[Data]]="","",TEXT(tbLancamentos[[#This Row],[Mês]],"00")&amp;"-"&amp;CHOOSE(tbLancamentos[[#This Row],[Mês]],"JAN","FEV","MAR","ABR","MAI","JUN","JUL","AGO","SET","OUT","NOV","DEZ"))</f>
        <v>05-MAI</v>
      </c>
    </row>
    <row r="76" spans="1:11" x14ac:dyDescent="0.3">
      <c r="A76" s="21">
        <v>45778</v>
      </c>
      <c r="B76" s="22">
        <f>IF(tbLancamentos[[#This Row],[Data]]="","",MONTH(tbLancamentos[[#This Row],[Data]]))</f>
        <v>5</v>
      </c>
      <c r="C76" s="23">
        <v>11</v>
      </c>
      <c r="D76" s="22" t="str">
        <f>IF(tbLancamentos[[#This Row],[Código]]="","",IFERROR(INDEX(tbCategorias[Grupo],MATCH(tbLancamentos[[#This Row],[Código]],tbCategorias[Código],0)),"CÓDIGO INVÁLIDO"))</f>
        <v>Alimentação</v>
      </c>
      <c r="E76" s="22" t="str">
        <f>IF(tbLancamentos[[#This Row],[Código]]="","",IFERROR(INDEX(tbCategorias[Subcategoria],MATCH(tbLancamentos[[#This Row],[Código]],tbCategorias[Código],0)),"CÓDIGO INVÁLIDO"))</f>
        <v>Supermercado</v>
      </c>
      <c r="F76" s="23" t="s">
        <v>125</v>
      </c>
      <c r="G76" s="24">
        <v>450</v>
      </c>
      <c r="H76" s="23"/>
      <c r="I76" s="23"/>
      <c r="J76" s="23" t="s">
        <v>122</v>
      </c>
      <c r="K76" s="23" t="str">
        <f>IF(tbLancamentos[[#This Row],[Data]]="","",TEXT(tbLancamentos[[#This Row],[Mês]],"00")&amp;"-"&amp;CHOOSE(tbLancamentos[[#This Row],[Mês]],"JAN","FEV","MAR","ABR","MAI","JUN","JUL","AGO","SET","OUT","NOV","DEZ"))</f>
        <v>05-MAI</v>
      </c>
    </row>
    <row r="77" spans="1:11" x14ac:dyDescent="0.3">
      <c r="A77" s="21">
        <v>45778</v>
      </c>
      <c r="B77" s="22">
        <f>IF(tbLancamentos[[#This Row],[Data]]="","",MONTH(tbLancamentos[[#This Row],[Data]]))</f>
        <v>5</v>
      </c>
      <c r="C77" s="23">
        <v>12</v>
      </c>
      <c r="D77" s="22" t="str">
        <f>IF(tbLancamentos[[#This Row],[Código]]="","",IFERROR(INDEX(tbCategorias[Grupo],MATCH(tbLancamentos[[#This Row],[Código]],tbCategorias[Código],0)),"CÓDIGO INVÁLIDO"))</f>
        <v>Alimentação</v>
      </c>
      <c r="E77" s="22" t="str">
        <f>IF(tbLancamentos[[#This Row],[Código]]="","",IFERROR(INDEX(tbCategorias[Subcategoria],MATCH(tbLancamentos[[#This Row],[Código]],tbCategorias[Código],0)),"CÓDIGO INVÁLIDO"))</f>
        <v>Restaurante</v>
      </c>
      <c r="F77" s="23" t="s">
        <v>126</v>
      </c>
      <c r="G77" s="24">
        <v>140</v>
      </c>
      <c r="H77" s="23"/>
      <c r="I77" s="23"/>
      <c r="J77" s="23" t="s">
        <v>122</v>
      </c>
      <c r="K77" s="23" t="str">
        <f>IF(tbLancamentos[[#This Row],[Data]]="","",TEXT(tbLancamentos[[#This Row],[Mês]],"00")&amp;"-"&amp;CHOOSE(tbLancamentos[[#This Row],[Mês]],"JAN","FEV","MAR","ABR","MAI","JUN","JUL","AGO","SET","OUT","NOV","DEZ"))</f>
        <v>05-MAI</v>
      </c>
    </row>
    <row r="78" spans="1:11" x14ac:dyDescent="0.3">
      <c r="A78" s="21">
        <v>45778</v>
      </c>
      <c r="B78" s="22">
        <f>IF(tbLancamentos[[#This Row],[Data]]="","",MONTH(tbLancamentos[[#This Row],[Data]]))</f>
        <v>5</v>
      </c>
      <c r="C78" s="23">
        <v>13</v>
      </c>
      <c r="D78" s="22" t="str">
        <f>IF(tbLancamentos[[#This Row],[Código]]="","",IFERROR(INDEX(tbCategorias[Grupo],MATCH(tbLancamentos[[#This Row],[Código]],tbCategorias[Código],0)),"CÓDIGO INVÁLIDO"))</f>
        <v>Alimentação</v>
      </c>
      <c r="E78" s="22" t="str">
        <f>IF(tbLancamentos[[#This Row],[Código]]="","",IFERROR(INDEX(tbCategorias[Subcategoria],MATCH(tbLancamentos[[#This Row],[Código]],tbCategorias[Código],0)),"CÓDIGO INVÁLIDO"))</f>
        <v>Café / Almoço</v>
      </c>
      <c r="F78" s="23" t="s">
        <v>127</v>
      </c>
      <c r="G78" s="24">
        <v>250</v>
      </c>
      <c r="H78" s="23"/>
      <c r="I78" s="23"/>
      <c r="J78" s="23" t="s">
        <v>122</v>
      </c>
      <c r="K78" s="23" t="str">
        <f>IF(tbLancamentos[[#This Row],[Data]]="","",TEXT(tbLancamentos[[#This Row],[Mês]],"00")&amp;"-"&amp;CHOOSE(tbLancamentos[[#This Row],[Mês]],"JAN","FEV","MAR","ABR","MAI","JUN","JUL","AGO","SET","OUT","NOV","DEZ"))</f>
        <v>05-MAI</v>
      </c>
    </row>
    <row r="79" spans="1:11" x14ac:dyDescent="0.3">
      <c r="A79" s="21">
        <v>45778</v>
      </c>
      <c r="B79" s="22">
        <f>IF(tbLancamentos[[#This Row],[Data]]="","",MONTH(tbLancamentos[[#This Row],[Data]]))</f>
        <v>5</v>
      </c>
      <c r="C79" s="23">
        <v>15</v>
      </c>
      <c r="D79" s="22" t="str">
        <f>IF(tbLancamentos[[#This Row],[Código]]="","",IFERROR(INDEX(tbCategorias[Grupo],MATCH(tbLancamentos[[#This Row],[Código]],tbCategorias[Código],0)),"CÓDIGO INVÁLIDO"))</f>
        <v>Comunicação</v>
      </c>
      <c r="E79" s="22" t="str">
        <f>IF(tbLancamentos[[#This Row],[Código]]="","",IFERROR(INDEX(tbCategorias[Subcategoria],MATCH(tbLancamentos[[#This Row],[Código]],tbCategorias[Código],0)),"CÓDIGO INVÁLIDO"))</f>
        <v>Celular</v>
      </c>
      <c r="F79" s="23" t="s">
        <v>128</v>
      </c>
      <c r="G79" s="24">
        <v>45</v>
      </c>
      <c r="H79" s="23"/>
      <c r="I79" s="23"/>
      <c r="J79" s="23" t="s">
        <v>122</v>
      </c>
      <c r="K79" s="23" t="str">
        <f>IF(tbLancamentos[[#This Row],[Data]]="","",TEXT(tbLancamentos[[#This Row],[Mês]],"00")&amp;"-"&amp;CHOOSE(tbLancamentos[[#This Row],[Mês]],"JAN","FEV","MAR","ABR","MAI","JUN","JUL","AGO","SET","OUT","NOV","DEZ"))</f>
        <v>05-MAI</v>
      </c>
    </row>
    <row r="80" spans="1:11" x14ac:dyDescent="0.3">
      <c r="A80" s="21">
        <v>45778</v>
      </c>
      <c r="B80" s="22">
        <f>IF(tbLancamentos[[#This Row],[Data]]="","",MONTH(tbLancamentos[[#This Row],[Data]]))</f>
        <v>5</v>
      </c>
      <c r="C80" s="23">
        <v>16</v>
      </c>
      <c r="D80" s="22" t="str">
        <f>IF(tbLancamentos[[#This Row],[Código]]="","",IFERROR(INDEX(tbCategorias[Grupo],MATCH(tbLancamentos[[#This Row],[Código]],tbCategorias[Código],0)),"CÓDIGO INVÁLIDO"))</f>
        <v>Comunicação</v>
      </c>
      <c r="E80" s="22" t="str">
        <f>IF(tbLancamentos[[#This Row],[Código]]="","",IFERROR(INDEX(tbCategorias[Subcategoria],MATCH(tbLancamentos[[#This Row],[Código]],tbCategorias[Código],0)),"CÓDIGO INVÁLIDO"))</f>
        <v>Internet</v>
      </c>
      <c r="F80" s="23" t="s">
        <v>129</v>
      </c>
      <c r="G80" s="24">
        <v>89</v>
      </c>
      <c r="H80" s="23"/>
      <c r="I80" s="23"/>
      <c r="J80" s="23" t="s">
        <v>122</v>
      </c>
      <c r="K80" s="23" t="str">
        <f>IF(tbLancamentos[[#This Row],[Data]]="","",TEXT(tbLancamentos[[#This Row],[Mês]],"00")&amp;"-"&amp;CHOOSE(tbLancamentos[[#This Row],[Mês]],"JAN","FEV","MAR","ABR","MAI","JUN","JUL","AGO","SET","OUT","NOV","DEZ"))</f>
        <v>05-MAI</v>
      </c>
    </row>
    <row r="81" spans="1:11" x14ac:dyDescent="0.3">
      <c r="A81" s="21">
        <v>45778</v>
      </c>
      <c r="B81" s="22">
        <f>IF(tbLancamentos[[#This Row],[Data]]="","",MONTH(tbLancamentos[[#This Row],[Data]]))</f>
        <v>5</v>
      </c>
      <c r="C81" s="23">
        <v>17</v>
      </c>
      <c r="D81" s="22" t="str">
        <f>IF(tbLancamentos[[#This Row],[Código]]="","",IFERROR(INDEX(tbCategorias[Grupo],MATCH(tbLancamentos[[#This Row],[Código]],tbCategorias[Código],0)),"CÓDIGO INVÁLIDO"))</f>
        <v>Comunicação</v>
      </c>
      <c r="E81" s="22" t="str">
        <f>IF(tbLancamentos[[#This Row],[Código]]="","",IFERROR(INDEX(tbCategorias[Subcategoria],MATCH(tbLancamentos[[#This Row],[Código]],tbCategorias[Código],0)),"CÓDIGO INVÁLIDO"))</f>
        <v>Streaming (outros)</v>
      </c>
      <c r="F81" s="23" t="s">
        <v>130</v>
      </c>
      <c r="G81" s="24">
        <v>24</v>
      </c>
      <c r="H81" s="23"/>
      <c r="I81" s="23"/>
      <c r="J81" s="23" t="s">
        <v>122</v>
      </c>
      <c r="K81" s="23" t="str">
        <f>IF(tbLancamentos[[#This Row],[Data]]="","",TEXT(tbLancamentos[[#This Row],[Mês]],"00")&amp;"-"&amp;CHOOSE(tbLancamentos[[#This Row],[Mês]],"JAN","FEV","MAR","ABR","MAI","JUN","JUL","AGO","SET","OUT","NOV","DEZ"))</f>
        <v>05-MAI</v>
      </c>
    </row>
    <row r="82" spans="1:11" x14ac:dyDescent="0.3">
      <c r="A82" s="21">
        <v>45778</v>
      </c>
      <c r="B82" s="22">
        <f>IF(tbLancamentos[[#This Row],[Data]]="","",MONTH(tbLancamentos[[#This Row],[Data]]))</f>
        <v>5</v>
      </c>
      <c r="C82" s="23">
        <v>18</v>
      </c>
      <c r="D82" s="22" t="str">
        <f>IF(tbLancamentos[[#This Row],[Código]]="","",IFERROR(INDEX(tbCategorias[Grupo],MATCH(tbLancamentos[[#This Row],[Código]],tbCategorias[Código],0)),"CÓDIGO INVÁLIDO"))</f>
        <v>Comunicação</v>
      </c>
      <c r="E82" s="22" t="str">
        <f>IF(tbLancamentos[[#This Row],[Código]]="","",IFERROR(INDEX(tbCategorias[Subcategoria],MATCH(tbLancamentos[[#This Row],[Código]],tbCategorias[Código],0)),"CÓDIGO INVÁLIDO"))</f>
        <v>Netflix</v>
      </c>
      <c r="F82" s="23" t="s">
        <v>131</v>
      </c>
      <c r="G82" s="24">
        <v>22</v>
      </c>
      <c r="H82" s="23"/>
      <c r="I82" s="23"/>
      <c r="J82" s="23" t="s">
        <v>122</v>
      </c>
      <c r="K82" s="23" t="str">
        <f>IF(tbLancamentos[[#This Row],[Data]]="","",TEXT(tbLancamentos[[#This Row],[Mês]],"00")&amp;"-"&amp;CHOOSE(tbLancamentos[[#This Row],[Mês]],"JAN","FEV","MAR","ABR","MAI","JUN","JUL","AGO","SET","OUT","NOV","DEZ"))</f>
        <v>05-MAI</v>
      </c>
    </row>
    <row r="83" spans="1:11" x14ac:dyDescent="0.3">
      <c r="A83" s="21">
        <v>45778</v>
      </c>
      <c r="B83" s="22">
        <f>IF(tbLancamentos[[#This Row],[Data]]="","",MONTH(tbLancamentos[[#This Row],[Data]]))</f>
        <v>5</v>
      </c>
      <c r="C83" s="23">
        <v>19</v>
      </c>
      <c r="D83" s="22" t="str">
        <f>IF(tbLancamentos[[#This Row],[Código]]="","",IFERROR(INDEX(tbCategorias[Grupo],MATCH(tbLancamentos[[#This Row],[Código]],tbCategorias[Código],0)),"CÓDIGO INVÁLIDO"))</f>
        <v>Comunicação</v>
      </c>
      <c r="E83" s="22" t="str">
        <f>IF(tbLancamentos[[#This Row],[Código]]="","",IFERROR(INDEX(tbCategorias[Subcategoria],MATCH(tbLancamentos[[#This Row],[Código]],tbCategorias[Código],0)),"CÓDIGO INVÁLIDO"))</f>
        <v>Amazon Prime</v>
      </c>
      <c r="F83" s="23" t="s">
        <v>132</v>
      </c>
      <c r="G83" s="24">
        <v>11</v>
      </c>
      <c r="H83" s="23"/>
      <c r="I83" s="23"/>
      <c r="J83" s="23" t="s">
        <v>122</v>
      </c>
      <c r="K83" s="23" t="str">
        <f>IF(tbLancamentos[[#This Row],[Data]]="","",TEXT(tbLancamentos[[#This Row],[Mês]],"00")&amp;"-"&amp;CHOOSE(tbLancamentos[[#This Row],[Mês]],"JAN","FEV","MAR","ABR","MAI","JUN","JUL","AGO","SET","OUT","NOV","DEZ"))</f>
        <v>05-MAI</v>
      </c>
    </row>
    <row r="84" spans="1:11" x14ac:dyDescent="0.3">
      <c r="A84" s="21">
        <v>45778</v>
      </c>
      <c r="B84" s="22">
        <f>IF(tbLancamentos[[#This Row],[Data]]="","",MONTH(tbLancamentos[[#This Row],[Data]]))</f>
        <v>5</v>
      </c>
      <c r="C84" s="23">
        <v>20</v>
      </c>
      <c r="D84" s="22" t="str">
        <f>IF(tbLancamentos[[#This Row],[Código]]="","",IFERROR(INDEX(tbCategorias[Grupo],MATCH(tbLancamentos[[#This Row],[Código]],tbCategorias[Código],0)),"CÓDIGO INVÁLIDO"))</f>
        <v>Comunicação</v>
      </c>
      <c r="E84" s="22" t="str">
        <f>IF(tbLancamentos[[#This Row],[Código]]="","",IFERROR(INDEX(tbCategorias[Subcategoria],MATCH(tbLancamentos[[#This Row],[Código]],tbCategorias[Código],0)),"CÓDIGO INVÁLIDO"))</f>
        <v>Max</v>
      </c>
      <c r="F84" s="23" t="s">
        <v>133</v>
      </c>
      <c r="G84" s="24">
        <v>45</v>
      </c>
      <c r="H84" s="23"/>
      <c r="I84" s="23"/>
      <c r="J84" s="23" t="s">
        <v>122</v>
      </c>
      <c r="K84" s="23" t="str">
        <f>IF(tbLancamentos[[#This Row],[Data]]="","",TEXT(tbLancamentos[[#This Row],[Mês]],"00")&amp;"-"&amp;CHOOSE(tbLancamentos[[#This Row],[Mês]],"JAN","FEV","MAR","ABR","MAI","JUN","JUL","AGO","SET","OUT","NOV","DEZ"))</f>
        <v>05-MAI</v>
      </c>
    </row>
    <row r="85" spans="1:11" x14ac:dyDescent="0.3">
      <c r="A85" s="21">
        <v>45778</v>
      </c>
      <c r="B85" s="22">
        <f>IF(tbLancamentos[[#This Row],[Data]]="","",MONTH(tbLancamentos[[#This Row],[Data]]))</f>
        <v>5</v>
      </c>
      <c r="C85" s="23">
        <v>40</v>
      </c>
      <c r="D85" s="22" t="str">
        <f>IF(tbLancamentos[[#This Row],[Código]]="","",IFERROR(INDEX(tbCategorias[Grupo],MATCH(tbLancamentos[[#This Row],[Código]],tbCategorias[Código],0)),"CÓDIGO INVÁLIDO"))</f>
        <v>Transporte</v>
      </c>
      <c r="E85" s="22" t="str">
        <f>IF(tbLancamentos[[#This Row],[Código]]="","",IFERROR(INDEX(tbCategorias[Subcategoria],MATCH(tbLancamentos[[#This Row],[Código]],tbCategorias[Código],0)),"CÓDIGO INVÁLIDO"))</f>
        <v>Aplicativos (Uber / 99)</v>
      </c>
      <c r="F85" s="23" t="s">
        <v>134</v>
      </c>
      <c r="G85" s="24">
        <v>45</v>
      </c>
      <c r="H85" s="23"/>
      <c r="I85" s="23"/>
      <c r="J85" s="23" t="s">
        <v>122</v>
      </c>
      <c r="K85" s="23" t="str">
        <f>IF(tbLancamentos[[#This Row],[Data]]="","",TEXT(tbLancamentos[[#This Row],[Mês]],"00")&amp;"-"&amp;CHOOSE(tbLancamentos[[#This Row],[Mês]],"JAN","FEV","MAR","ABR","MAI","JUN","JUL","AGO","SET","OUT","NOV","DEZ"))</f>
        <v>05-MAI</v>
      </c>
    </row>
    <row r="86" spans="1:11" x14ac:dyDescent="0.3">
      <c r="A86" s="21">
        <v>45778</v>
      </c>
      <c r="B86" s="22">
        <f>IF(tbLancamentos[[#This Row],[Data]]="","",MONTH(tbLancamentos[[#This Row],[Data]]))</f>
        <v>5</v>
      </c>
      <c r="C86" s="23">
        <v>43</v>
      </c>
      <c r="D86" s="22" t="str">
        <f>IF(tbLancamentos[[#This Row],[Código]]="","",IFERROR(INDEX(tbCategorias[Grupo],MATCH(tbLancamentos[[#This Row],[Código]],tbCategorias[Código],0)),"CÓDIGO INVÁLIDO"))</f>
        <v>Transporte</v>
      </c>
      <c r="E86" s="22" t="str">
        <f>IF(tbLancamentos[[#This Row],[Código]]="","",IFERROR(INDEX(tbCategorias[Subcategoria],MATCH(tbLancamentos[[#This Row],[Código]],tbCategorias[Código],0)),"CÓDIGO INVÁLIDO"))</f>
        <v>Transporte Trabalho (Jhenis)</v>
      </c>
      <c r="F86" s="23" t="s">
        <v>135</v>
      </c>
      <c r="G86" s="24">
        <v>143</v>
      </c>
      <c r="H86" s="23"/>
      <c r="I86" s="23"/>
      <c r="J86" s="23" t="s">
        <v>122</v>
      </c>
      <c r="K86" s="23" t="str">
        <f>IF(tbLancamentos[[#This Row],[Data]]="","",TEXT(tbLancamentos[[#This Row],[Mês]],"00")&amp;"-"&amp;CHOOSE(tbLancamentos[[#This Row],[Mês]],"JAN","FEV","MAR","ABR","MAI","JUN","JUL","AGO","SET","OUT","NOV","DEZ"))</f>
        <v>05-MAI</v>
      </c>
    </row>
    <row r="87" spans="1:11" x14ac:dyDescent="0.3">
      <c r="A87" s="21">
        <v>45778</v>
      </c>
      <c r="B87" s="22">
        <f>IF(tbLancamentos[[#This Row],[Data]]="","",MONTH(tbLancamentos[[#This Row],[Data]]))</f>
        <v>5</v>
      </c>
      <c r="C87" s="23">
        <v>44</v>
      </c>
      <c r="D87" s="22" t="str">
        <f>IF(tbLancamentos[[#This Row],[Código]]="","",IFERROR(INDEX(tbCategorias[Grupo],MATCH(tbLancamentos[[#This Row],[Código]],tbCategorias[Código],0)),"CÓDIGO INVÁLIDO"))</f>
        <v>Transporte</v>
      </c>
      <c r="E87" s="22" t="str">
        <f>IF(tbLancamentos[[#This Row],[Código]]="","",IFERROR(INDEX(tbCategorias[Subcategoria],MATCH(tbLancamentos[[#This Row],[Código]],tbCategorias[Código],0)),"CÓDIGO INVÁLIDO"))</f>
        <v>Transporte Trabalho (Matheus)</v>
      </c>
      <c r="F87" s="23" t="s">
        <v>136</v>
      </c>
      <c r="G87" s="24">
        <v>240</v>
      </c>
      <c r="H87" s="23"/>
      <c r="I87" s="23"/>
      <c r="J87" s="23" t="s">
        <v>122</v>
      </c>
      <c r="K87" s="23" t="str">
        <f>IF(tbLancamentos[[#This Row],[Data]]="","",TEXT(tbLancamentos[[#This Row],[Mês]],"00")&amp;"-"&amp;CHOOSE(tbLancamentos[[#This Row],[Mês]],"JAN","FEV","MAR","ABR","MAI","JUN","JUL","AGO","SET","OUT","NOV","DEZ"))</f>
        <v>05-MAI</v>
      </c>
    </row>
    <row r="88" spans="1:11" x14ac:dyDescent="0.3">
      <c r="A88" s="21">
        <v>45778</v>
      </c>
      <c r="B88" s="22">
        <f>IF(tbLancamentos[[#This Row],[Data]]="","",MONTH(tbLancamentos[[#This Row],[Data]]))</f>
        <v>5</v>
      </c>
      <c r="C88" s="23">
        <v>4</v>
      </c>
      <c r="D88" s="22" t="str">
        <f>IF(tbLancamentos[[#This Row],[Código]]="","",IFERROR(INDEX(tbCategorias[Grupo],MATCH(tbLancamentos[[#This Row],[Código]],tbCategorias[Código],0)),"CÓDIGO INVÁLIDO"))</f>
        <v>Cartões e Dívidas</v>
      </c>
      <c r="E88" s="22" t="str">
        <f>IF(tbLancamentos[[#This Row],[Código]]="","",IFERROR(INDEX(tbCategorias[Subcategoria],MATCH(tbLancamentos[[#This Row],[Código]],tbCategorias[Código],0)),"CÓDIGO INVÁLIDO"))</f>
        <v>Cartão Jhenismara</v>
      </c>
      <c r="F88" s="23" t="s">
        <v>137</v>
      </c>
      <c r="G88" s="24">
        <v>1400</v>
      </c>
      <c r="H88" s="23"/>
      <c r="I88" s="23"/>
      <c r="J88" s="23" t="s">
        <v>122</v>
      </c>
      <c r="K88" s="23" t="str">
        <f>IF(tbLancamentos[[#This Row],[Data]]="","",TEXT(tbLancamentos[[#This Row],[Mês]],"00")&amp;"-"&amp;CHOOSE(tbLancamentos[[#This Row],[Mês]],"JAN","FEV","MAR","ABR","MAI","JUN","JUL","AGO","SET","OUT","NOV","DEZ"))</f>
        <v>05-MAI</v>
      </c>
    </row>
    <row r="89" spans="1:11" x14ac:dyDescent="0.3">
      <c r="A89" s="21">
        <v>45778</v>
      </c>
      <c r="B89" s="22">
        <f>IF(tbLancamentos[[#This Row],[Data]]="","",MONTH(tbLancamentos[[#This Row],[Data]]))</f>
        <v>5</v>
      </c>
      <c r="C89" s="23">
        <v>9</v>
      </c>
      <c r="D89" s="22" t="str">
        <f>IF(tbLancamentos[[#This Row],[Código]]="","",IFERROR(INDEX(tbCategorias[Grupo],MATCH(tbLancamentos[[#This Row],[Código]],tbCategorias[Código],0)),"CÓDIGO INVÁLIDO"))</f>
        <v>Cartões e Dívidas</v>
      </c>
      <c r="E89" s="22" t="str">
        <f>IF(tbLancamentos[[#This Row],[Código]]="","",IFERROR(INDEX(tbCategorias[Subcategoria],MATCH(tbLancamentos[[#This Row],[Código]],tbCategorias[Código],0)),"CÓDIGO INVÁLIDO"))</f>
        <v>Cartão Matheus</v>
      </c>
      <c r="F89" s="23" t="s">
        <v>138</v>
      </c>
      <c r="G89" s="24">
        <v>175</v>
      </c>
      <c r="H89" s="23"/>
      <c r="I89" s="23"/>
      <c r="J89" s="23" t="s">
        <v>122</v>
      </c>
      <c r="K89" s="23" t="str">
        <f>IF(tbLancamentos[[#This Row],[Data]]="","",TEXT(tbLancamentos[[#This Row],[Mês]],"00")&amp;"-"&amp;CHOOSE(tbLancamentos[[#This Row],[Mês]],"JAN","FEV","MAR","ABR","MAI","JUN","JUL","AGO","SET","OUT","NOV","DEZ"))</f>
        <v>05-MAI</v>
      </c>
    </row>
    <row r="90" spans="1:11" x14ac:dyDescent="0.3">
      <c r="A90" s="21">
        <v>45809</v>
      </c>
      <c r="B90" s="22">
        <f>IF(tbLancamentos[[#This Row],[Data]]="","",MONTH(tbLancamentos[[#This Row],[Data]]))</f>
        <v>6</v>
      </c>
      <c r="C90" s="23">
        <v>6</v>
      </c>
      <c r="D90" s="22" t="str">
        <f>IF(tbLancamentos[[#This Row],[Código]]="","",IFERROR(INDEX(tbCategorias[Grupo],MATCH(tbLancamentos[[#This Row],[Código]],tbCategorias[Código],0)),"CÓDIGO INVÁLIDO"))</f>
        <v>Moradia</v>
      </c>
      <c r="E90" s="22" t="str">
        <f>IF(tbLancamentos[[#This Row],[Código]]="","",IFERROR(INDEX(tbCategorias[Subcategoria],MATCH(tbLancamentos[[#This Row],[Código]],tbCategorias[Código],0)),"CÓDIGO INVÁLIDO"))</f>
        <v>Energia</v>
      </c>
      <c r="F90" s="23" t="s">
        <v>121</v>
      </c>
      <c r="G90" s="24">
        <v>150</v>
      </c>
      <c r="H90" s="23"/>
      <c r="I90" s="23"/>
      <c r="J90" s="23" t="s">
        <v>122</v>
      </c>
      <c r="K90" s="23" t="str">
        <f>IF(tbLancamentos[[#This Row],[Data]]="","",TEXT(tbLancamentos[[#This Row],[Mês]],"00")&amp;"-"&amp;CHOOSE(tbLancamentos[[#This Row],[Mês]],"JAN","FEV","MAR","ABR","MAI","JUN","JUL","AGO","SET","OUT","NOV","DEZ"))</f>
        <v>06-JUN</v>
      </c>
    </row>
    <row r="91" spans="1:11" x14ac:dyDescent="0.3">
      <c r="A91" s="21">
        <v>45809</v>
      </c>
      <c r="B91" s="22">
        <f>IF(tbLancamentos[[#This Row],[Data]]="","",MONTH(tbLancamentos[[#This Row],[Data]]))</f>
        <v>6</v>
      </c>
      <c r="C91" s="23">
        <v>7</v>
      </c>
      <c r="D91" s="22" t="str">
        <f>IF(tbLancamentos[[#This Row],[Código]]="","",IFERROR(INDEX(tbCategorias[Grupo],MATCH(tbLancamentos[[#This Row],[Código]],tbCategorias[Código],0)),"CÓDIGO INVÁLIDO"))</f>
        <v>Moradia</v>
      </c>
      <c r="E91" s="22" t="str">
        <f>IF(tbLancamentos[[#This Row],[Código]]="","",IFERROR(INDEX(tbCategorias[Subcategoria],MATCH(tbLancamentos[[#This Row],[Código]],tbCategorias[Código],0)),"CÓDIGO INVÁLIDO"))</f>
        <v>Água</v>
      </c>
      <c r="F91" s="23" t="s">
        <v>123</v>
      </c>
      <c r="G91" s="24">
        <v>77</v>
      </c>
      <c r="H91" s="23"/>
      <c r="I91" s="23"/>
      <c r="J91" s="23" t="s">
        <v>122</v>
      </c>
      <c r="K91" s="23" t="str">
        <f>IF(tbLancamentos[[#This Row],[Data]]="","",TEXT(tbLancamentos[[#This Row],[Mês]],"00")&amp;"-"&amp;CHOOSE(tbLancamentos[[#This Row],[Mês]],"JAN","FEV","MAR","ABR","MAI","JUN","JUL","AGO","SET","OUT","NOV","DEZ"))</f>
        <v>06-JUN</v>
      </c>
    </row>
    <row r="92" spans="1:11" x14ac:dyDescent="0.3">
      <c r="A92" s="21">
        <v>45809</v>
      </c>
      <c r="B92" s="22">
        <f>IF(tbLancamentos[[#This Row],[Data]]="","",MONTH(tbLancamentos[[#This Row],[Data]]))</f>
        <v>6</v>
      </c>
      <c r="C92" s="23">
        <v>8</v>
      </c>
      <c r="D92" s="22" t="str">
        <f>IF(tbLancamentos[[#This Row],[Código]]="","",IFERROR(INDEX(tbCategorias[Grupo],MATCH(tbLancamentos[[#This Row],[Código]],tbCategorias[Código],0)),"CÓDIGO INVÁLIDO"))</f>
        <v>Moradia</v>
      </c>
      <c r="E92" s="22" t="str">
        <f>IF(tbLancamentos[[#This Row],[Código]]="","",IFERROR(INDEX(tbCategorias[Subcategoria],MATCH(tbLancamentos[[#This Row],[Código]],tbCategorias[Código],0)),"CÓDIGO INVÁLIDO"))</f>
        <v>Gás</v>
      </c>
      <c r="F92" s="23" t="s">
        <v>124</v>
      </c>
      <c r="G92" s="24">
        <v>55</v>
      </c>
      <c r="H92" s="23"/>
      <c r="I92" s="23"/>
      <c r="J92" s="23" t="s">
        <v>122</v>
      </c>
      <c r="K92" s="23" t="str">
        <f>IF(tbLancamentos[[#This Row],[Data]]="","",TEXT(tbLancamentos[[#This Row],[Mês]],"00")&amp;"-"&amp;CHOOSE(tbLancamentos[[#This Row],[Mês]],"JAN","FEV","MAR","ABR","MAI","JUN","JUL","AGO","SET","OUT","NOV","DEZ"))</f>
        <v>06-JUN</v>
      </c>
    </row>
    <row r="93" spans="1:11" x14ac:dyDescent="0.3">
      <c r="A93" s="21">
        <v>45809</v>
      </c>
      <c r="B93" s="22">
        <f>IF(tbLancamentos[[#This Row],[Data]]="","",MONTH(tbLancamentos[[#This Row],[Data]]))</f>
        <v>6</v>
      </c>
      <c r="C93" s="23">
        <v>11</v>
      </c>
      <c r="D93" s="22" t="str">
        <f>IF(tbLancamentos[[#This Row],[Código]]="","",IFERROR(INDEX(tbCategorias[Grupo],MATCH(tbLancamentos[[#This Row],[Código]],tbCategorias[Código],0)),"CÓDIGO INVÁLIDO"))</f>
        <v>Alimentação</v>
      </c>
      <c r="E93" s="22" t="str">
        <f>IF(tbLancamentos[[#This Row],[Código]]="","",IFERROR(INDEX(tbCategorias[Subcategoria],MATCH(tbLancamentos[[#This Row],[Código]],tbCategorias[Código],0)),"CÓDIGO INVÁLIDO"))</f>
        <v>Supermercado</v>
      </c>
      <c r="F93" s="23" t="s">
        <v>125</v>
      </c>
      <c r="G93" s="24">
        <v>450</v>
      </c>
      <c r="H93" s="23"/>
      <c r="I93" s="23"/>
      <c r="J93" s="23" t="s">
        <v>122</v>
      </c>
      <c r="K93" s="23" t="str">
        <f>IF(tbLancamentos[[#This Row],[Data]]="","",TEXT(tbLancamentos[[#This Row],[Mês]],"00")&amp;"-"&amp;CHOOSE(tbLancamentos[[#This Row],[Mês]],"JAN","FEV","MAR","ABR","MAI","JUN","JUL","AGO","SET","OUT","NOV","DEZ"))</f>
        <v>06-JUN</v>
      </c>
    </row>
    <row r="94" spans="1:11" x14ac:dyDescent="0.3">
      <c r="A94" s="21">
        <v>45809</v>
      </c>
      <c r="B94" s="22">
        <f>IF(tbLancamentos[[#This Row],[Data]]="","",MONTH(tbLancamentos[[#This Row],[Data]]))</f>
        <v>6</v>
      </c>
      <c r="C94" s="23">
        <v>12</v>
      </c>
      <c r="D94" s="22" t="str">
        <f>IF(tbLancamentos[[#This Row],[Código]]="","",IFERROR(INDEX(tbCategorias[Grupo],MATCH(tbLancamentos[[#This Row],[Código]],tbCategorias[Código],0)),"CÓDIGO INVÁLIDO"))</f>
        <v>Alimentação</v>
      </c>
      <c r="E94" s="22" t="str">
        <f>IF(tbLancamentos[[#This Row],[Código]]="","",IFERROR(INDEX(tbCategorias[Subcategoria],MATCH(tbLancamentos[[#This Row],[Código]],tbCategorias[Código],0)),"CÓDIGO INVÁLIDO"))</f>
        <v>Restaurante</v>
      </c>
      <c r="F94" s="23" t="s">
        <v>126</v>
      </c>
      <c r="G94" s="24">
        <v>140</v>
      </c>
      <c r="H94" s="23"/>
      <c r="I94" s="23"/>
      <c r="J94" s="23" t="s">
        <v>122</v>
      </c>
      <c r="K94" s="23" t="str">
        <f>IF(tbLancamentos[[#This Row],[Data]]="","",TEXT(tbLancamentos[[#This Row],[Mês]],"00")&amp;"-"&amp;CHOOSE(tbLancamentos[[#This Row],[Mês]],"JAN","FEV","MAR","ABR","MAI","JUN","JUL","AGO","SET","OUT","NOV","DEZ"))</f>
        <v>06-JUN</v>
      </c>
    </row>
    <row r="95" spans="1:11" x14ac:dyDescent="0.3">
      <c r="A95" s="21">
        <v>45809</v>
      </c>
      <c r="B95" s="22">
        <f>IF(tbLancamentos[[#This Row],[Data]]="","",MONTH(tbLancamentos[[#This Row],[Data]]))</f>
        <v>6</v>
      </c>
      <c r="C95" s="23">
        <v>13</v>
      </c>
      <c r="D95" s="22" t="str">
        <f>IF(tbLancamentos[[#This Row],[Código]]="","",IFERROR(INDEX(tbCategorias[Grupo],MATCH(tbLancamentos[[#This Row],[Código]],tbCategorias[Código],0)),"CÓDIGO INVÁLIDO"))</f>
        <v>Alimentação</v>
      </c>
      <c r="E95" s="22" t="str">
        <f>IF(tbLancamentos[[#This Row],[Código]]="","",IFERROR(INDEX(tbCategorias[Subcategoria],MATCH(tbLancamentos[[#This Row],[Código]],tbCategorias[Código],0)),"CÓDIGO INVÁLIDO"))</f>
        <v>Café / Almoço</v>
      </c>
      <c r="F95" s="23" t="s">
        <v>127</v>
      </c>
      <c r="G95" s="24">
        <v>250</v>
      </c>
      <c r="H95" s="23"/>
      <c r="I95" s="23"/>
      <c r="J95" s="23" t="s">
        <v>122</v>
      </c>
      <c r="K95" s="23" t="str">
        <f>IF(tbLancamentos[[#This Row],[Data]]="","",TEXT(tbLancamentos[[#This Row],[Mês]],"00")&amp;"-"&amp;CHOOSE(tbLancamentos[[#This Row],[Mês]],"JAN","FEV","MAR","ABR","MAI","JUN","JUL","AGO","SET","OUT","NOV","DEZ"))</f>
        <v>06-JUN</v>
      </c>
    </row>
    <row r="96" spans="1:11" x14ac:dyDescent="0.3">
      <c r="A96" s="21">
        <v>45809</v>
      </c>
      <c r="B96" s="22">
        <f>IF(tbLancamentos[[#This Row],[Data]]="","",MONTH(tbLancamentos[[#This Row],[Data]]))</f>
        <v>6</v>
      </c>
      <c r="C96" s="23">
        <v>15</v>
      </c>
      <c r="D96" s="22" t="str">
        <f>IF(tbLancamentos[[#This Row],[Código]]="","",IFERROR(INDEX(tbCategorias[Grupo],MATCH(tbLancamentos[[#This Row],[Código]],tbCategorias[Código],0)),"CÓDIGO INVÁLIDO"))</f>
        <v>Comunicação</v>
      </c>
      <c r="E96" s="22" t="str">
        <f>IF(tbLancamentos[[#This Row],[Código]]="","",IFERROR(INDEX(tbCategorias[Subcategoria],MATCH(tbLancamentos[[#This Row],[Código]],tbCategorias[Código],0)),"CÓDIGO INVÁLIDO"))</f>
        <v>Celular</v>
      </c>
      <c r="F96" s="23" t="s">
        <v>128</v>
      </c>
      <c r="G96" s="24">
        <v>45</v>
      </c>
      <c r="H96" s="23"/>
      <c r="I96" s="23"/>
      <c r="J96" s="23" t="s">
        <v>122</v>
      </c>
      <c r="K96" s="23" t="str">
        <f>IF(tbLancamentos[[#This Row],[Data]]="","",TEXT(tbLancamentos[[#This Row],[Mês]],"00")&amp;"-"&amp;CHOOSE(tbLancamentos[[#This Row],[Mês]],"JAN","FEV","MAR","ABR","MAI","JUN","JUL","AGO","SET","OUT","NOV","DEZ"))</f>
        <v>06-JUN</v>
      </c>
    </row>
    <row r="97" spans="1:11" x14ac:dyDescent="0.3">
      <c r="A97" s="21">
        <v>45809</v>
      </c>
      <c r="B97" s="22">
        <f>IF(tbLancamentos[[#This Row],[Data]]="","",MONTH(tbLancamentos[[#This Row],[Data]]))</f>
        <v>6</v>
      </c>
      <c r="C97" s="23">
        <v>16</v>
      </c>
      <c r="D97" s="22" t="str">
        <f>IF(tbLancamentos[[#This Row],[Código]]="","",IFERROR(INDEX(tbCategorias[Grupo],MATCH(tbLancamentos[[#This Row],[Código]],tbCategorias[Código],0)),"CÓDIGO INVÁLIDO"))</f>
        <v>Comunicação</v>
      </c>
      <c r="E97" s="22" t="str">
        <f>IF(tbLancamentos[[#This Row],[Código]]="","",IFERROR(INDEX(tbCategorias[Subcategoria],MATCH(tbLancamentos[[#This Row],[Código]],tbCategorias[Código],0)),"CÓDIGO INVÁLIDO"))</f>
        <v>Internet</v>
      </c>
      <c r="F97" s="23" t="s">
        <v>129</v>
      </c>
      <c r="G97" s="24">
        <v>89</v>
      </c>
      <c r="H97" s="23"/>
      <c r="I97" s="23"/>
      <c r="J97" s="23" t="s">
        <v>122</v>
      </c>
      <c r="K97" s="23" t="str">
        <f>IF(tbLancamentos[[#This Row],[Data]]="","",TEXT(tbLancamentos[[#This Row],[Mês]],"00")&amp;"-"&amp;CHOOSE(tbLancamentos[[#This Row],[Mês]],"JAN","FEV","MAR","ABR","MAI","JUN","JUL","AGO","SET","OUT","NOV","DEZ"))</f>
        <v>06-JUN</v>
      </c>
    </row>
    <row r="98" spans="1:11" x14ac:dyDescent="0.3">
      <c r="A98" s="21">
        <v>45809</v>
      </c>
      <c r="B98" s="22">
        <f>IF(tbLancamentos[[#This Row],[Data]]="","",MONTH(tbLancamentos[[#This Row],[Data]]))</f>
        <v>6</v>
      </c>
      <c r="C98" s="23">
        <v>17</v>
      </c>
      <c r="D98" s="22" t="str">
        <f>IF(tbLancamentos[[#This Row],[Código]]="","",IFERROR(INDEX(tbCategorias[Grupo],MATCH(tbLancamentos[[#This Row],[Código]],tbCategorias[Código],0)),"CÓDIGO INVÁLIDO"))</f>
        <v>Comunicação</v>
      </c>
      <c r="E98" s="22" t="str">
        <f>IF(tbLancamentos[[#This Row],[Código]]="","",IFERROR(INDEX(tbCategorias[Subcategoria],MATCH(tbLancamentos[[#This Row],[Código]],tbCategorias[Código],0)),"CÓDIGO INVÁLIDO"))</f>
        <v>Streaming (outros)</v>
      </c>
      <c r="F98" s="23" t="s">
        <v>130</v>
      </c>
      <c r="G98" s="24">
        <v>24</v>
      </c>
      <c r="H98" s="23"/>
      <c r="I98" s="23"/>
      <c r="J98" s="23" t="s">
        <v>122</v>
      </c>
      <c r="K98" s="23" t="str">
        <f>IF(tbLancamentos[[#This Row],[Data]]="","",TEXT(tbLancamentos[[#This Row],[Mês]],"00")&amp;"-"&amp;CHOOSE(tbLancamentos[[#This Row],[Mês]],"JAN","FEV","MAR","ABR","MAI","JUN","JUL","AGO","SET","OUT","NOV","DEZ"))</f>
        <v>06-JUN</v>
      </c>
    </row>
    <row r="99" spans="1:11" x14ac:dyDescent="0.3">
      <c r="A99" s="21">
        <v>45809</v>
      </c>
      <c r="B99" s="22">
        <f>IF(tbLancamentos[[#This Row],[Data]]="","",MONTH(tbLancamentos[[#This Row],[Data]]))</f>
        <v>6</v>
      </c>
      <c r="C99" s="23">
        <v>18</v>
      </c>
      <c r="D99" s="22" t="str">
        <f>IF(tbLancamentos[[#This Row],[Código]]="","",IFERROR(INDEX(tbCategorias[Grupo],MATCH(tbLancamentos[[#This Row],[Código]],tbCategorias[Código],0)),"CÓDIGO INVÁLIDO"))</f>
        <v>Comunicação</v>
      </c>
      <c r="E99" s="22" t="str">
        <f>IF(tbLancamentos[[#This Row],[Código]]="","",IFERROR(INDEX(tbCategorias[Subcategoria],MATCH(tbLancamentos[[#This Row],[Código]],tbCategorias[Código],0)),"CÓDIGO INVÁLIDO"))</f>
        <v>Netflix</v>
      </c>
      <c r="F99" s="23" t="s">
        <v>131</v>
      </c>
      <c r="G99" s="24">
        <v>22</v>
      </c>
      <c r="H99" s="23"/>
      <c r="I99" s="23"/>
      <c r="J99" s="23" t="s">
        <v>122</v>
      </c>
      <c r="K99" s="23" t="str">
        <f>IF(tbLancamentos[[#This Row],[Data]]="","",TEXT(tbLancamentos[[#This Row],[Mês]],"00")&amp;"-"&amp;CHOOSE(tbLancamentos[[#This Row],[Mês]],"JAN","FEV","MAR","ABR","MAI","JUN","JUL","AGO","SET","OUT","NOV","DEZ"))</f>
        <v>06-JUN</v>
      </c>
    </row>
    <row r="100" spans="1:11" x14ac:dyDescent="0.3">
      <c r="A100" s="21">
        <v>45809</v>
      </c>
      <c r="B100" s="22">
        <f>IF(tbLancamentos[[#This Row],[Data]]="","",MONTH(tbLancamentos[[#This Row],[Data]]))</f>
        <v>6</v>
      </c>
      <c r="C100" s="23">
        <v>19</v>
      </c>
      <c r="D100" s="22" t="str">
        <f>IF(tbLancamentos[[#This Row],[Código]]="","",IFERROR(INDEX(tbCategorias[Grupo],MATCH(tbLancamentos[[#This Row],[Código]],tbCategorias[Código],0)),"CÓDIGO INVÁLIDO"))</f>
        <v>Comunicação</v>
      </c>
      <c r="E100" s="22" t="str">
        <f>IF(tbLancamentos[[#This Row],[Código]]="","",IFERROR(INDEX(tbCategorias[Subcategoria],MATCH(tbLancamentos[[#This Row],[Código]],tbCategorias[Código],0)),"CÓDIGO INVÁLIDO"))</f>
        <v>Amazon Prime</v>
      </c>
      <c r="F100" s="23" t="s">
        <v>132</v>
      </c>
      <c r="G100" s="24">
        <v>11</v>
      </c>
      <c r="H100" s="23"/>
      <c r="I100" s="23"/>
      <c r="J100" s="23" t="s">
        <v>122</v>
      </c>
      <c r="K100" s="23" t="str">
        <f>IF(tbLancamentos[[#This Row],[Data]]="","",TEXT(tbLancamentos[[#This Row],[Mês]],"00")&amp;"-"&amp;CHOOSE(tbLancamentos[[#This Row],[Mês]],"JAN","FEV","MAR","ABR","MAI","JUN","JUL","AGO","SET","OUT","NOV","DEZ"))</f>
        <v>06-JUN</v>
      </c>
    </row>
    <row r="101" spans="1:11" x14ac:dyDescent="0.3">
      <c r="A101" s="21">
        <v>45809</v>
      </c>
      <c r="B101" s="22">
        <f>IF(tbLancamentos[[#This Row],[Data]]="","",MONTH(tbLancamentos[[#This Row],[Data]]))</f>
        <v>6</v>
      </c>
      <c r="C101" s="23">
        <v>20</v>
      </c>
      <c r="D101" s="22" t="str">
        <f>IF(tbLancamentos[[#This Row],[Código]]="","",IFERROR(INDEX(tbCategorias[Grupo],MATCH(tbLancamentos[[#This Row],[Código]],tbCategorias[Código],0)),"CÓDIGO INVÁLIDO"))</f>
        <v>Comunicação</v>
      </c>
      <c r="E101" s="22" t="str">
        <f>IF(tbLancamentos[[#This Row],[Código]]="","",IFERROR(INDEX(tbCategorias[Subcategoria],MATCH(tbLancamentos[[#This Row],[Código]],tbCategorias[Código],0)),"CÓDIGO INVÁLIDO"))</f>
        <v>Max</v>
      </c>
      <c r="F101" s="23" t="s">
        <v>133</v>
      </c>
      <c r="G101" s="24">
        <v>45</v>
      </c>
      <c r="H101" s="23"/>
      <c r="I101" s="23"/>
      <c r="J101" s="23" t="s">
        <v>122</v>
      </c>
      <c r="K101" s="23" t="str">
        <f>IF(tbLancamentos[[#This Row],[Data]]="","",TEXT(tbLancamentos[[#This Row],[Mês]],"00")&amp;"-"&amp;CHOOSE(tbLancamentos[[#This Row],[Mês]],"JAN","FEV","MAR","ABR","MAI","JUN","JUL","AGO","SET","OUT","NOV","DEZ"))</f>
        <v>06-JUN</v>
      </c>
    </row>
    <row r="102" spans="1:11" x14ac:dyDescent="0.3">
      <c r="A102" s="21">
        <v>45809</v>
      </c>
      <c r="B102" s="22">
        <f>IF(tbLancamentos[[#This Row],[Data]]="","",MONTH(tbLancamentos[[#This Row],[Data]]))</f>
        <v>6</v>
      </c>
      <c r="C102" s="23">
        <v>40</v>
      </c>
      <c r="D102" s="22" t="str">
        <f>IF(tbLancamentos[[#This Row],[Código]]="","",IFERROR(INDEX(tbCategorias[Grupo],MATCH(tbLancamentos[[#This Row],[Código]],tbCategorias[Código],0)),"CÓDIGO INVÁLIDO"))</f>
        <v>Transporte</v>
      </c>
      <c r="E102" s="22" t="str">
        <f>IF(tbLancamentos[[#This Row],[Código]]="","",IFERROR(INDEX(tbCategorias[Subcategoria],MATCH(tbLancamentos[[#This Row],[Código]],tbCategorias[Código],0)),"CÓDIGO INVÁLIDO"))</f>
        <v>Aplicativos (Uber / 99)</v>
      </c>
      <c r="F102" s="23" t="s">
        <v>134</v>
      </c>
      <c r="G102" s="24">
        <v>45</v>
      </c>
      <c r="H102" s="23"/>
      <c r="I102" s="23"/>
      <c r="J102" s="23" t="s">
        <v>122</v>
      </c>
      <c r="K102" s="23" t="str">
        <f>IF(tbLancamentos[[#This Row],[Data]]="","",TEXT(tbLancamentos[[#This Row],[Mês]],"00")&amp;"-"&amp;CHOOSE(tbLancamentos[[#This Row],[Mês]],"JAN","FEV","MAR","ABR","MAI","JUN","JUL","AGO","SET","OUT","NOV","DEZ"))</f>
        <v>06-JUN</v>
      </c>
    </row>
    <row r="103" spans="1:11" x14ac:dyDescent="0.3">
      <c r="A103" s="21">
        <v>45809</v>
      </c>
      <c r="B103" s="22">
        <f>IF(tbLancamentos[[#This Row],[Data]]="","",MONTH(tbLancamentos[[#This Row],[Data]]))</f>
        <v>6</v>
      </c>
      <c r="C103" s="23">
        <v>43</v>
      </c>
      <c r="D103" s="22" t="str">
        <f>IF(tbLancamentos[[#This Row],[Código]]="","",IFERROR(INDEX(tbCategorias[Grupo],MATCH(tbLancamentos[[#This Row],[Código]],tbCategorias[Código],0)),"CÓDIGO INVÁLIDO"))</f>
        <v>Transporte</v>
      </c>
      <c r="E103" s="22" t="str">
        <f>IF(tbLancamentos[[#This Row],[Código]]="","",IFERROR(INDEX(tbCategorias[Subcategoria],MATCH(tbLancamentos[[#This Row],[Código]],tbCategorias[Código],0)),"CÓDIGO INVÁLIDO"))</f>
        <v>Transporte Trabalho (Jhenis)</v>
      </c>
      <c r="F103" s="23" t="s">
        <v>135</v>
      </c>
      <c r="G103" s="24">
        <v>143</v>
      </c>
      <c r="H103" s="23"/>
      <c r="I103" s="23"/>
      <c r="J103" s="23" t="s">
        <v>122</v>
      </c>
      <c r="K103" s="23" t="str">
        <f>IF(tbLancamentos[[#This Row],[Data]]="","",TEXT(tbLancamentos[[#This Row],[Mês]],"00")&amp;"-"&amp;CHOOSE(tbLancamentos[[#This Row],[Mês]],"JAN","FEV","MAR","ABR","MAI","JUN","JUL","AGO","SET","OUT","NOV","DEZ"))</f>
        <v>06-JUN</v>
      </c>
    </row>
    <row r="104" spans="1:11" x14ac:dyDescent="0.3">
      <c r="A104" s="21">
        <v>45809</v>
      </c>
      <c r="B104" s="22">
        <f>IF(tbLancamentos[[#This Row],[Data]]="","",MONTH(tbLancamentos[[#This Row],[Data]]))</f>
        <v>6</v>
      </c>
      <c r="C104" s="23">
        <v>44</v>
      </c>
      <c r="D104" s="22" t="str">
        <f>IF(tbLancamentos[[#This Row],[Código]]="","",IFERROR(INDEX(tbCategorias[Grupo],MATCH(tbLancamentos[[#This Row],[Código]],tbCategorias[Código],0)),"CÓDIGO INVÁLIDO"))</f>
        <v>Transporte</v>
      </c>
      <c r="E104" s="22" t="str">
        <f>IF(tbLancamentos[[#This Row],[Código]]="","",IFERROR(INDEX(tbCategorias[Subcategoria],MATCH(tbLancamentos[[#This Row],[Código]],tbCategorias[Código],0)),"CÓDIGO INVÁLIDO"))</f>
        <v>Transporte Trabalho (Matheus)</v>
      </c>
      <c r="F104" s="23" t="s">
        <v>136</v>
      </c>
      <c r="G104" s="24">
        <v>240</v>
      </c>
      <c r="H104" s="23"/>
      <c r="I104" s="23"/>
      <c r="J104" s="23" t="s">
        <v>122</v>
      </c>
      <c r="K104" s="23" t="str">
        <f>IF(tbLancamentos[[#This Row],[Data]]="","",TEXT(tbLancamentos[[#This Row],[Mês]],"00")&amp;"-"&amp;CHOOSE(tbLancamentos[[#This Row],[Mês]],"JAN","FEV","MAR","ABR","MAI","JUN","JUL","AGO","SET","OUT","NOV","DEZ"))</f>
        <v>06-JUN</v>
      </c>
    </row>
    <row r="105" spans="1:11" x14ac:dyDescent="0.3">
      <c r="A105" s="21">
        <v>45809</v>
      </c>
      <c r="B105" s="22">
        <f>IF(tbLancamentos[[#This Row],[Data]]="","",MONTH(tbLancamentos[[#This Row],[Data]]))</f>
        <v>6</v>
      </c>
      <c r="C105" s="23">
        <v>4</v>
      </c>
      <c r="D105" s="22" t="str">
        <f>IF(tbLancamentos[[#This Row],[Código]]="","",IFERROR(INDEX(tbCategorias[Grupo],MATCH(tbLancamentos[[#This Row],[Código]],tbCategorias[Código],0)),"CÓDIGO INVÁLIDO"))</f>
        <v>Cartões e Dívidas</v>
      </c>
      <c r="E105" s="22" t="str">
        <f>IF(tbLancamentos[[#This Row],[Código]]="","",IFERROR(INDEX(tbCategorias[Subcategoria],MATCH(tbLancamentos[[#This Row],[Código]],tbCategorias[Código],0)),"CÓDIGO INVÁLIDO"))</f>
        <v>Cartão Jhenismara</v>
      </c>
      <c r="F105" s="23" t="s">
        <v>137</v>
      </c>
      <c r="G105" s="24">
        <v>1400</v>
      </c>
      <c r="H105" s="23"/>
      <c r="I105" s="23"/>
      <c r="J105" s="23" t="s">
        <v>122</v>
      </c>
      <c r="K105" s="23" t="str">
        <f>IF(tbLancamentos[[#This Row],[Data]]="","",TEXT(tbLancamentos[[#This Row],[Mês]],"00")&amp;"-"&amp;CHOOSE(tbLancamentos[[#This Row],[Mês]],"JAN","FEV","MAR","ABR","MAI","JUN","JUL","AGO","SET","OUT","NOV","DEZ"))</f>
        <v>06-JUN</v>
      </c>
    </row>
    <row r="106" spans="1:11" x14ac:dyDescent="0.3">
      <c r="A106" s="21">
        <v>45809</v>
      </c>
      <c r="B106" s="22">
        <f>IF(tbLancamentos[[#This Row],[Data]]="","",MONTH(tbLancamentos[[#This Row],[Data]]))</f>
        <v>6</v>
      </c>
      <c r="C106" s="23">
        <v>9</v>
      </c>
      <c r="D106" s="22" t="str">
        <f>IF(tbLancamentos[[#This Row],[Código]]="","",IFERROR(INDEX(tbCategorias[Grupo],MATCH(tbLancamentos[[#This Row],[Código]],tbCategorias[Código],0)),"CÓDIGO INVÁLIDO"))</f>
        <v>Cartões e Dívidas</v>
      </c>
      <c r="E106" s="22" t="str">
        <f>IF(tbLancamentos[[#This Row],[Código]]="","",IFERROR(INDEX(tbCategorias[Subcategoria],MATCH(tbLancamentos[[#This Row],[Código]],tbCategorias[Código],0)),"CÓDIGO INVÁLIDO"))</f>
        <v>Cartão Matheus</v>
      </c>
      <c r="F106" s="23" t="s">
        <v>138</v>
      </c>
      <c r="G106" s="24">
        <v>175</v>
      </c>
      <c r="H106" s="23"/>
      <c r="I106" s="23"/>
      <c r="J106" s="23" t="s">
        <v>122</v>
      </c>
      <c r="K106" s="23" t="str">
        <f>IF(tbLancamentos[[#This Row],[Data]]="","",TEXT(tbLancamentos[[#This Row],[Mês]],"00")&amp;"-"&amp;CHOOSE(tbLancamentos[[#This Row],[Mês]],"JAN","FEV","MAR","ABR","MAI","JUN","JUL","AGO","SET","OUT","NOV","DEZ"))</f>
        <v>06-JUN</v>
      </c>
    </row>
    <row r="107" spans="1:11" x14ac:dyDescent="0.3">
      <c r="A107" s="21">
        <v>45839</v>
      </c>
      <c r="B107" s="22">
        <f>IF(tbLancamentos[[#This Row],[Data]]="","",MONTH(tbLancamentos[[#This Row],[Data]]))</f>
        <v>7</v>
      </c>
      <c r="C107" s="23">
        <v>6</v>
      </c>
      <c r="D107" s="22" t="str">
        <f>IF(tbLancamentos[[#This Row],[Código]]="","",IFERROR(INDEX(tbCategorias[Grupo],MATCH(tbLancamentos[[#This Row],[Código]],tbCategorias[Código],0)),"CÓDIGO INVÁLIDO"))</f>
        <v>Moradia</v>
      </c>
      <c r="E107" s="22" t="str">
        <f>IF(tbLancamentos[[#This Row],[Código]]="","",IFERROR(INDEX(tbCategorias[Subcategoria],MATCH(tbLancamentos[[#This Row],[Código]],tbCategorias[Código],0)),"CÓDIGO INVÁLIDO"))</f>
        <v>Energia</v>
      </c>
      <c r="F107" s="23" t="s">
        <v>121</v>
      </c>
      <c r="G107" s="24">
        <v>150</v>
      </c>
      <c r="H107" s="23"/>
      <c r="I107" s="23"/>
      <c r="J107" s="23" t="s">
        <v>122</v>
      </c>
      <c r="K107" s="23" t="str">
        <f>IF(tbLancamentos[[#This Row],[Data]]="","",TEXT(tbLancamentos[[#This Row],[Mês]],"00")&amp;"-"&amp;CHOOSE(tbLancamentos[[#This Row],[Mês]],"JAN","FEV","MAR","ABR","MAI","JUN","JUL","AGO","SET","OUT","NOV","DEZ"))</f>
        <v>07-JUL</v>
      </c>
    </row>
    <row r="108" spans="1:11" x14ac:dyDescent="0.3">
      <c r="A108" s="21">
        <v>45839</v>
      </c>
      <c r="B108" s="22">
        <f>IF(tbLancamentos[[#This Row],[Data]]="","",MONTH(tbLancamentos[[#This Row],[Data]]))</f>
        <v>7</v>
      </c>
      <c r="C108" s="23">
        <v>7</v>
      </c>
      <c r="D108" s="22" t="str">
        <f>IF(tbLancamentos[[#This Row],[Código]]="","",IFERROR(INDEX(tbCategorias[Grupo],MATCH(tbLancamentos[[#This Row],[Código]],tbCategorias[Código],0)),"CÓDIGO INVÁLIDO"))</f>
        <v>Moradia</v>
      </c>
      <c r="E108" s="22" t="str">
        <f>IF(tbLancamentos[[#This Row],[Código]]="","",IFERROR(INDEX(tbCategorias[Subcategoria],MATCH(tbLancamentos[[#This Row],[Código]],tbCategorias[Código],0)),"CÓDIGO INVÁLIDO"))</f>
        <v>Água</v>
      </c>
      <c r="F108" s="23" t="s">
        <v>123</v>
      </c>
      <c r="G108" s="24">
        <v>77</v>
      </c>
      <c r="H108" s="23"/>
      <c r="I108" s="23"/>
      <c r="J108" s="23" t="s">
        <v>122</v>
      </c>
      <c r="K108" s="23" t="str">
        <f>IF(tbLancamentos[[#This Row],[Data]]="","",TEXT(tbLancamentos[[#This Row],[Mês]],"00")&amp;"-"&amp;CHOOSE(tbLancamentos[[#This Row],[Mês]],"JAN","FEV","MAR","ABR","MAI","JUN","JUL","AGO","SET","OUT","NOV","DEZ"))</f>
        <v>07-JUL</v>
      </c>
    </row>
    <row r="109" spans="1:11" x14ac:dyDescent="0.3">
      <c r="A109" s="21">
        <v>45839</v>
      </c>
      <c r="B109" s="22">
        <f>IF(tbLancamentos[[#This Row],[Data]]="","",MONTH(tbLancamentos[[#This Row],[Data]]))</f>
        <v>7</v>
      </c>
      <c r="C109" s="23">
        <v>8</v>
      </c>
      <c r="D109" s="22" t="str">
        <f>IF(tbLancamentos[[#This Row],[Código]]="","",IFERROR(INDEX(tbCategorias[Grupo],MATCH(tbLancamentos[[#This Row],[Código]],tbCategorias[Código],0)),"CÓDIGO INVÁLIDO"))</f>
        <v>Moradia</v>
      </c>
      <c r="E109" s="22" t="str">
        <f>IF(tbLancamentos[[#This Row],[Código]]="","",IFERROR(INDEX(tbCategorias[Subcategoria],MATCH(tbLancamentos[[#This Row],[Código]],tbCategorias[Código],0)),"CÓDIGO INVÁLIDO"))</f>
        <v>Gás</v>
      </c>
      <c r="F109" s="23" t="s">
        <v>124</v>
      </c>
      <c r="G109" s="24">
        <v>55</v>
      </c>
      <c r="H109" s="23"/>
      <c r="I109" s="23"/>
      <c r="J109" s="23" t="s">
        <v>122</v>
      </c>
      <c r="K109" s="23" t="str">
        <f>IF(tbLancamentos[[#This Row],[Data]]="","",TEXT(tbLancamentos[[#This Row],[Mês]],"00")&amp;"-"&amp;CHOOSE(tbLancamentos[[#This Row],[Mês]],"JAN","FEV","MAR","ABR","MAI","JUN","JUL","AGO","SET","OUT","NOV","DEZ"))</f>
        <v>07-JUL</v>
      </c>
    </row>
    <row r="110" spans="1:11" x14ac:dyDescent="0.3">
      <c r="A110" s="21">
        <v>45839</v>
      </c>
      <c r="B110" s="22">
        <f>IF(tbLancamentos[[#This Row],[Data]]="","",MONTH(tbLancamentos[[#This Row],[Data]]))</f>
        <v>7</v>
      </c>
      <c r="C110" s="23">
        <v>11</v>
      </c>
      <c r="D110" s="22" t="str">
        <f>IF(tbLancamentos[[#This Row],[Código]]="","",IFERROR(INDEX(tbCategorias[Grupo],MATCH(tbLancamentos[[#This Row],[Código]],tbCategorias[Código],0)),"CÓDIGO INVÁLIDO"))</f>
        <v>Alimentação</v>
      </c>
      <c r="E110" s="22" t="str">
        <f>IF(tbLancamentos[[#This Row],[Código]]="","",IFERROR(INDEX(tbCategorias[Subcategoria],MATCH(tbLancamentos[[#This Row],[Código]],tbCategorias[Código],0)),"CÓDIGO INVÁLIDO"))</f>
        <v>Supermercado</v>
      </c>
      <c r="F110" s="23" t="s">
        <v>125</v>
      </c>
      <c r="G110" s="24">
        <v>450</v>
      </c>
      <c r="H110" s="23"/>
      <c r="I110" s="23"/>
      <c r="J110" s="23" t="s">
        <v>122</v>
      </c>
      <c r="K110" s="23" t="str">
        <f>IF(tbLancamentos[[#This Row],[Data]]="","",TEXT(tbLancamentos[[#This Row],[Mês]],"00")&amp;"-"&amp;CHOOSE(tbLancamentos[[#This Row],[Mês]],"JAN","FEV","MAR","ABR","MAI","JUN","JUL","AGO","SET","OUT","NOV","DEZ"))</f>
        <v>07-JUL</v>
      </c>
    </row>
    <row r="111" spans="1:11" x14ac:dyDescent="0.3">
      <c r="A111" s="21">
        <v>45839</v>
      </c>
      <c r="B111" s="22">
        <f>IF(tbLancamentos[[#This Row],[Data]]="","",MONTH(tbLancamentos[[#This Row],[Data]]))</f>
        <v>7</v>
      </c>
      <c r="C111" s="23">
        <v>12</v>
      </c>
      <c r="D111" s="22" t="str">
        <f>IF(tbLancamentos[[#This Row],[Código]]="","",IFERROR(INDEX(tbCategorias[Grupo],MATCH(tbLancamentos[[#This Row],[Código]],tbCategorias[Código],0)),"CÓDIGO INVÁLIDO"))</f>
        <v>Alimentação</v>
      </c>
      <c r="E111" s="22" t="str">
        <f>IF(tbLancamentos[[#This Row],[Código]]="","",IFERROR(INDEX(tbCategorias[Subcategoria],MATCH(tbLancamentos[[#This Row],[Código]],tbCategorias[Código],0)),"CÓDIGO INVÁLIDO"))</f>
        <v>Restaurante</v>
      </c>
      <c r="F111" s="23" t="s">
        <v>126</v>
      </c>
      <c r="G111" s="24">
        <v>140</v>
      </c>
      <c r="H111" s="23"/>
      <c r="I111" s="23"/>
      <c r="J111" s="23" t="s">
        <v>122</v>
      </c>
      <c r="K111" s="23" t="str">
        <f>IF(tbLancamentos[[#This Row],[Data]]="","",TEXT(tbLancamentos[[#This Row],[Mês]],"00")&amp;"-"&amp;CHOOSE(tbLancamentos[[#This Row],[Mês]],"JAN","FEV","MAR","ABR","MAI","JUN","JUL","AGO","SET","OUT","NOV","DEZ"))</f>
        <v>07-JUL</v>
      </c>
    </row>
    <row r="112" spans="1:11" x14ac:dyDescent="0.3">
      <c r="A112" s="21">
        <v>45839</v>
      </c>
      <c r="B112" s="22">
        <f>IF(tbLancamentos[[#This Row],[Data]]="","",MONTH(tbLancamentos[[#This Row],[Data]]))</f>
        <v>7</v>
      </c>
      <c r="C112" s="23">
        <v>13</v>
      </c>
      <c r="D112" s="22" t="str">
        <f>IF(tbLancamentos[[#This Row],[Código]]="","",IFERROR(INDEX(tbCategorias[Grupo],MATCH(tbLancamentos[[#This Row],[Código]],tbCategorias[Código],0)),"CÓDIGO INVÁLIDO"))</f>
        <v>Alimentação</v>
      </c>
      <c r="E112" s="22" t="str">
        <f>IF(tbLancamentos[[#This Row],[Código]]="","",IFERROR(INDEX(tbCategorias[Subcategoria],MATCH(tbLancamentos[[#This Row],[Código]],tbCategorias[Código],0)),"CÓDIGO INVÁLIDO"))</f>
        <v>Café / Almoço</v>
      </c>
      <c r="F112" s="23" t="s">
        <v>127</v>
      </c>
      <c r="G112" s="24">
        <v>250</v>
      </c>
      <c r="H112" s="23"/>
      <c r="I112" s="23"/>
      <c r="J112" s="23" t="s">
        <v>122</v>
      </c>
      <c r="K112" s="23" t="str">
        <f>IF(tbLancamentos[[#This Row],[Data]]="","",TEXT(tbLancamentos[[#This Row],[Mês]],"00")&amp;"-"&amp;CHOOSE(tbLancamentos[[#This Row],[Mês]],"JAN","FEV","MAR","ABR","MAI","JUN","JUL","AGO","SET","OUT","NOV","DEZ"))</f>
        <v>07-JUL</v>
      </c>
    </row>
    <row r="113" spans="1:11" x14ac:dyDescent="0.3">
      <c r="A113" s="21">
        <v>45839</v>
      </c>
      <c r="B113" s="22">
        <f>IF(tbLancamentos[[#This Row],[Data]]="","",MONTH(tbLancamentos[[#This Row],[Data]]))</f>
        <v>7</v>
      </c>
      <c r="C113" s="23">
        <v>15</v>
      </c>
      <c r="D113" s="22" t="str">
        <f>IF(tbLancamentos[[#This Row],[Código]]="","",IFERROR(INDEX(tbCategorias[Grupo],MATCH(tbLancamentos[[#This Row],[Código]],tbCategorias[Código],0)),"CÓDIGO INVÁLIDO"))</f>
        <v>Comunicação</v>
      </c>
      <c r="E113" s="22" t="str">
        <f>IF(tbLancamentos[[#This Row],[Código]]="","",IFERROR(INDEX(tbCategorias[Subcategoria],MATCH(tbLancamentos[[#This Row],[Código]],tbCategorias[Código],0)),"CÓDIGO INVÁLIDO"))</f>
        <v>Celular</v>
      </c>
      <c r="F113" s="23" t="s">
        <v>128</v>
      </c>
      <c r="G113" s="24">
        <v>45</v>
      </c>
      <c r="H113" s="23"/>
      <c r="I113" s="23"/>
      <c r="J113" s="23" t="s">
        <v>122</v>
      </c>
      <c r="K113" s="23" t="str">
        <f>IF(tbLancamentos[[#This Row],[Data]]="","",TEXT(tbLancamentos[[#This Row],[Mês]],"00")&amp;"-"&amp;CHOOSE(tbLancamentos[[#This Row],[Mês]],"JAN","FEV","MAR","ABR","MAI","JUN","JUL","AGO","SET","OUT","NOV","DEZ"))</f>
        <v>07-JUL</v>
      </c>
    </row>
    <row r="114" spans="1:11" x14ac:dyDescent="0.3">
      <c r="A114" s="21">
        <v>45839</v>
      </c>
      <c r="B114" s="22">
        <f>IF(tbLancamentos[[#This Row],[Data]]="","",MONTH(tbLancamentos[[#This Row],[Data]]))</f>
        <v>7</v>
      </c>
      <c r="C114" s="23">
        <v>16</v>
      </c>
      <c r="D114" s="22" t="str">
        <f>IF(tbLancamentos[[#This Row],[Código]]="","",IFERROR(INDEX(tbCategorias[Grupo],MATCH(tbLancamentos[[#This Row],[Código]],tbCategorias[Código],0)),"CÓDIGO INVÁLIDO"))</f>
        <v>Comunicação</v>
      </c>
      <c r="E114" s="22" t="str">
        <f>IF(tbLancamentos[[#This Row],[Código]]="","",IFERROR(INDEX(tbCategorias[Subcategoria],MATCH(tbLancamentos[[#This Row],[Código]],tbCategorias[Código],0)),"CÓDIGO INVÁLIDO"))</f>
        <v>Internet</v>
      </c>
      <c r="F114" s="23" t="s">
        <v>129</v>
      </c>
      <c r="G114" s="24">
        <v>89</v>
      </c>
      <c r="H114" s="23"/>
      <c r="I114" s="23"/>
      <c r="J114" s="23" t="s">
        <v>122</v>
      </c>
      <c r="K114" s="23" t="str">
        <f>IF(tbLancamentos[[#This Row],[Data]]="","",TEXT(tbLancamentos[[#This Row],[Mês]],"00")&amp;"-"&amp;CHOOSE(tbLancamentos[[#This Row],[Mês]],"JAN","FEV","MAR","ABR","MAI","JUN","JUL","AGO","SET","OUT","NOV","DEZ"))</f>
        <v>07-JUL</v>
      </c>
    </row>
    <row r="115" spans="1:11" x14ac:dyDescent="0.3">
      <c r="A115" s="21">
        <v>45839</v>
      </c>
      <c r="B115" s="22">
        <f>IF(tbLancamentos[[#This Row],[Data]]="","",MONTH(tbLancamentos[[#This Row],[Data]]))</f>
        <v>7</v>
      </c>
      <c r="C115" s="23">
        <v>17</v>
      </c>
      <c r="D115" s="22" t="str">
        <f>IF(tbLancamentos[[#This Row],[Código]]="","",IFERROR(INDEX(tbCategorias[Grupo],MATCH(tbLancamentos[[#This Row],[Código]],tbCategorias[Código],0)),"CÓDIGO INVÁLIDO"))</f>
        <v>Comunicação</v>
      </c>
      <c r="E115" s="22" t="str">
        <f>IF(tbLancamentos[[#This Row],[Código]]="","",IFERROR(INDEX(tbCategorias[Subcategoria],MATCH(tbLancamentos[[#This Row],[Código]],tbCategorias[Código],0)),"CÓDIGO INVÁLIDO"))</f>
        <v>Streaming (outros)</v>
      </c>
      <c r="F115" s="23" t="s">
        <v>130</v>
      </c>
      <c r="G115" s="24">
        <v>24</v>
      </c>
      <c r="H115" s="23"/>
      <c r="I115" s="23"/>
      <c r="J115" s="23" t="s">
        <v>122</v>
      </c>
      <c r="K115" s="23" t="str">
        <f>IF(tbLancamentos[[#This Row],[Data]]="","",TEXT(tbLancamentos[[#This Row],[Mês]],"00")&amp;"-"&amp;CHOOSE(tbLancamentos[[#This Row],[Mês]],"JAN","FEV","MAR","ABR","MAI","JUN","JUL","AGO","SET","OUT","NOV","DEZ"))</f>
        <v>07-JUL</v>
      </c>
    </row>
    <row r="116" spans="1:11" x14ac:dyDescent="0.3">
      <c r="A116" s="21">
        <v>45839</v>
      </c>
      <c r="B116" s="22">
        <f>IF(tbLancamentos[[#This Row],[Data]]="","",MONTH(tbLancamentos[[#This Row],[Data]]))</f>
        <v>7</v>
      </c>
      <c r="C116" s="23">
        <v>18</v>
      </c>
      <c r="D116" s="22" t="str">
        <f>IF(tbLancamentos[[#This Row],[Código]]="","",IFERROR(INDEX(tbCategorias[Grupo],MATCH(tbLancamentos[[#This Row],[Código]],tbCategorias[Código],0)),"CÓDIGO INVÁLIDO"))</f>
        <v>Comunicação</v>
      </c>
      <c r="E116" s="22" t="str">
        <f>IF(tbLancamentos[[#This Row],[Código]]="","",IFERROR(INDEX(tbCategorias[Subcategoria],MATCH(tbLancamentos[[#This Row],[Código]],tbCategorias[Código],0)),"CÓDIGO INVÁLIDO"))</f>
        <v>Netflix</v>
      </c>
      <c r="F116" s="23" t="s">
        <v>131</v>
      </c>
      <c r="G116" s="24">
        <v>22</v>
      </c>
      <c r="H116" s="23"/>
      <c r="I116" s="23"/>
      <c r="J116" s="23" t="s">
        <v>122</v>
      </c>
      <c r="K116" s="23" t="str">
        <f>IF(tbLancamentos[[#This Row],[Data]]="","",TEXT(tbLancamentos[[#This Row],[Mês]],"00")&amp;"-"&amp;CHOOSE(tbLancamentos[[#This Row],[Mês]],"JAN","FEV","MAR","ABR","MAI","JUN","JUL","AGO","SET","OUT","NOV","DEZ"))</f>
        <v>07-JUL</v>
      </c>
    </row>
    <row r="117" spans="1:11" x14ac:dyDescent="0.3">
      <c r="A117" s="21">
        <v>45839</v>
      </c>
      <c r="B117" s="22">
        <f>IF(tbLancamentos[[#This Row],[Data]]="","",MONTH(tbLancamentos[[#This Row],[Data]]))</f>
        <v>7</v>
      </c>
      <c r="C117" s="23">
        <v>19</v>
      </c>
      <c r="D117" s="22" t="str">
        <f>IF(tbLancamentos[[#This Row],[Código]]="","",IFERROR(INDEX(tbCategorias[Grupo],MATCH(tbLancamentos[[#This Row],[Código]],tbCategorias[Código],0)),"CÓDIGO INVÁLIDO"))</f>
        <v>Comunicação</v>
      </c>
      <c r="E117" s="22" t="str">
        <f>IF(tbLancamentos[[#This Row],[Código]]="","",IFERROR(INDEX(tbCategorias[Subcategoria],MATCH(tbLancamentos[[#This Row],[Código]],tbCategorias[Código],0)),"CÓDIGO INVÁLIDO"))</f>
        <v>Amazon Prime</v>
      </c>
      <c r="F117" s="23" t="s">
        <v>132</v>
      </c>
      <c r="G117" s="24">
        <v>11</v>
      </c>
      <c r="H117" s="23"/>
      <c r="I117" s="23"/>
      <c r="J117" s="23" t="s">
        <v>122</v>
      </c>
      <c r="K117" s="23" t="str">
        <f>IF(tbLancamentos[[#This Row],[Data]]="","",TEXT(tbLancamentos[[#This Row],[Mês]],"00")&amp;"-"&amp;CHOOSE(tbLancamentos[[#This Row],[Mês]],"JAN","FEV","MAR","ABR","MAI","JUN","JUL","AGO","SET","OUT","NOV","DEZ"))</f>
        <v>07-JUL</v>
      </c>
    </row>
    <row r="118" spans="1:11" x14ac:dyDescent="0.3">
      <c r="A118" s="21">
        <v>45839</v>
      </c>
      <c r="B118" s="22">
        <f>IF(tbLancamentos[[#This Row],[Data]]="","",MONTH(tbLancamentos[[#This Row],[Data]]))</f>
        <v>7</v>
      </c>
      <c r="C118" s="23">
        <v>20</v>
      </c>
      <c r="D118" s="22" t="str">
        <f>IF(tbLancamentos[[#This Row],[Código]]="","",IFERROR(INDEX(tbCategorias[Grupo],MATCH(tbLancamentos[[#This Row],[Código]],tbCategorias[Código],0)),"CÓDIGO INVÁLIDO"))</f>
        <v>Comunicação</v>
      </c>
      <c r="E118" s="22" t="str">
        <f>IF(tbLancamentos[[#This Row],[Código]]="","",IFERROR(INDEX(tbCategorias[Subcategoria],MATCH(tbLancamentos[[#This Row],[Código]],tbCategorias[Código],0)),"CÓDIGO INVÁLIDO"))</f>
        <v>Max</v>
      </c>
      <c r="F118" s="23" t="s">
        <v>133</v>
      </c>
      <c r="G118" s="24">
        <v>45</v>
      </c>
      <c r="H118" s="23"/>
      <c r="I118" s="23"/>
      <c r="J118" s="23" t="s">
        <v>122</v>
      </c>
      <c r="K118" s="23" t="str">
        <f>IF(tbLancamentos[[#This Row],[Data]]="","",TEXT(tbLancamentos[[#This Row],[Mês]],"00")&amp;"-"&amp;CHOOSE(tbLancamentos[[#This Row],[Mês]],"JAN","FEV","MAR","ABR","MAI","JUN","JUL","AGO","SET","OUT","NOV","DEZ"))</f>
        <v>07-JUL</v>
      </c>
    </row>
    <row r="119" spans="1:11" x14ac:dyDescent="0.3">
      <c r="A119" s="21">
        <v>45839</v>
      </c>
      <c r="B119" s="22">
        <f>IF(tbLancamentos[[#This Row],[Data]]="","",MONTH(tbLancamentos[[#This Row],[Data]]))</f>
        <v>7</v>
      </c>
      <c r="C119" s="23">
        <v>40</v>
      </c>
      <c r="D119" s="22" t="str">
        <f>IF(tbLancamentos[[#This Row],[Código]]="","",IFERROR(INDEX(tbCategorias[Grupo],MATCH(tbLancamentos[[#This Row],[Código]],tbCategorias[Código],0)),"CÓDIGO INVÁLIDO"))</f>
        <v>Transporte</v>
      </c>
      <c r="E119" s="22" t="str">
        <f>IF(tbLancamentos[[#This Row],[Código]]="","",IFERROR(INDEX(tbCategorias[Subcategoria],MATCH(tbLancamentos[[#This Row],[Código]],tbCategorias[Código],0)),"CÓDIGO INVÁLIDO"))</f>
        <v>Aplicativos (Uber / 99)</v>
      </c>
      <c r="F119" s="23" t="s">
        <v>134</v>
      </c>
      <c r="G119" s="24">
        <v>45</v>
      </c>
      <c r="H119" s="23"/>
      <c r="I119" s="23"/>
      <c r="J119" s="23" t="s">
        <v>122</v>
      </c>
      <c r="K119" s="23" t="str">
        <f>IF(tbLancamentos[[#This Row],[Data]]="","",TEXT(tbLancamentos[[#This Row],[Mês]],"00")&amp;"-"&amp;CHOOSE(tbLancamentos[[#This Row],[Mês]],"JAN","FEV","MAR","ABR","MAI","JUN","JUL","AGO","SET","OUT","NOV","DEZ"))</f>
        <v>07-JUL</v>
      </c>
    </row>
    <row r="120" spans="1:11" x14ac:dyDescent="0.3">
      <c r="A120" s="21">
        <v>45839</v>
      </c>
      <c r="B120" s="22">
        <f>IF(tbLancamentos[[#This Row],[Data]]="","",MONTH(tbLancamentos[[#This Row],[Data]]))</f>
        <v>7</v>
      </c>
      <c r="C120" s="23">
        <v>43</v>
      </c>
      <c r="D120" s="22" t="str">
        <f>IF(tbLancamentos[[#This Row],[Código]]="","",IFERROR(INDEX(tbCategorias[Grupo],MATCH(tbLancamentos[[#This Row],[Código]],tbCategorias[Código],0)),"CÓDIGO INVÁLIDO"))</f>
        <v>Transporte</v>
      </c>
      <c r="E120" s="22" t="str">
        <f>IF(tbLancamentos[[#This Row],[Código]]="","",IFERROR(INDEX(tbCategorias[Subcategoria],MATCH(tbLancamentos[[#This Row],[Código]],tbCategorias[Código],0)),"CÓDIGO INVÁLIDO"))</f>
        <v>Transporte Trabalho (Jhenis)</v>
      </c>
      <c r="F120" s="23" t="s">
        <v>135</v>
      </c>
      <c r="G120" s="24">
        <v>143</v>
      </c>
      <c r="H120" s="23"/>
      <c r="I120" s="23"/>
      <c r="J120" s="23" t="s">
        <v>122</v>
      </c>
      <c r="K120" s="23" t="str">
        <f>IF(tbLancamentos[[#This Row],[Data]]="","",TEXT(tbLancamentos[[#This Row],[Mês]],"00")&amp;"-"&amp;CHOOSE(tbLancamentos[[#This Row],[Mês]],"JAN","FEV","MAR","ABR","MAI","JUN","JUL","AGO","SET","OUT","NOV","DEZ"))</f>
        <v>07-JUL</v>
      </c>
    </row>
    <row r="121" spans="1:11" x14ac:dyDescent="0.3">
      <c r="A121" s="21">
        <v>45839</v>
      </c>
      <c r="B121" s="22">
        <f>IF(tbLancamentos[[#This Row],[Data]]="","",MONTH(tbLancamentos[[#This Row],[Data]]))</f>
        <v>7</v>
      </c>
      <c r="C121" s="23">
        <v>44</v>
      </c>
      <c r="D121" s="22" t="str">
        <f>IF(tbLancamentos[[#This Row],[Código]]="","",IFERROR(INDEX(tbCategorias[Grupo],MATCH(tbLancamentos[[#This Row],[Código]],tbCategorias[Código],0)),"CÓDIGO INVÁLIDO"))</f>
        <v>Transporte</v>
      </c>
      <c r="E121" s="22" t="str">
        <f>IF(tbLancamentos[[#This Row],[Código]]="","",IFERROR(INDEX(tbCategorias[Subcategoria],MATCH(tbLancamentos[[#This Row],[Código]],tbCategorias[Código],0)),"CÓDIGO INVÁLIDO"))</f>
        <v>Transporte Trabalho (Matheus)</v>
      </c>
      <c r="F121" s="23" t="s">
        <v>136</v>
      </c>
      <c r="G121" s="24">
        <v>240</v>
      </c>
      <c r="H121" s="23"/>
      <c r="I121" s="23"/>
      <c r="J121" s="23" t="s">
        <v>122</v>
      </c>
      <c r="K121" s="23" t="str">
        <f>IF(tbLancamentos[[#This Row],[Data]]="","",TEXT(tbLancamentos[[#This Row],[Mês]],"00")&amp;"-"&amp;CHOOSE(tbLancamentos[[#This Row],[Mês]],"JAN","FEV","MAR","ABR","MAI","JUN","JUL","AGO","SET","OUT","NOV","DEZ"))</f>
        <v>07-JUL</v>
      </c>
    </row>
    <row r="122" spans="1:11" x14ac:dyDescent="0.3">
      <c r="A122" s="21">
        <v>45839</v>
      </c>
      <c r="B122" s="22">
        <f>IF(tbLancamentos[[#This Row],[Data]]="","",MONTH(tbLancamentos[[#This Row],[Data]]))</f>
        <v>7</v>
      </c>
      <c r="C122" s="23">
        <v>4</v>
      </c>
      <c r="D122" s="22" t="str">
        <f>IF(tbLancamentos[[#This Row],[Código]]="","",IFERROR(INDEX(tbCategorias[Grupo],MATCH(tbLancamentos[[#This Row],[Código]],tbCategorias[Código],0)),"CÓDIGO INVÁLIDO"))</f>
        <v>Cartões e Dívidas</v>
      </c>
      <c r="E122" s="22" t="str">
        <f>IF(tbLancamentos[[#This Row],[Código]]="","",IFERROR(INDEX(tbCategorias[Subcategoria],MATCH(tbLancamentos[[#This Row],[Código]],tbCategorias[Código],0)),"CÓDIGO INVÁLIDO"))</f>
        <v>Cartão Jhenismara</v>
      </c>
      <c r="F122" s="23" t="s">
        <v>137</v>
      </c>
      <c r="G122" s="24">
        <v>1400</v>
      </c>
      <c r="H122" s="23"/>
      <c r="I122" s="23"/>
      <c r="J122" s="23" t="s">
        <v>122</v>
      </c>
      <c r="K122" s="23" t="str">
        <f>IF(tbLancamentos[[#This Row],[Data]]="","",TEXT(tbLancamentos[[#This Row],[Mês]],"00")&amp;"-"&amp;CHOOSE(tbLancamentos[[#This Row],[Mês]],"JAN","FEV","MAR","ABR","MAI","JUN","JUL","AGO","SET","OUT","NOV","DEZ"))</f>
        <v>07-JUL</v>
      </c>
    </row>
    <row r="123" spans="1:11" x14ac:dyDescent="0.3">
      <c r="A123" s="21">
        <v>45839</v>
      </c>
      <c r="B123" s="22">
        <f>IF(tbLancamentos[[#This Row],[Data]]="","",MONTH(tbLancamentos[[#This Row],[Data]]))</f>
        <v>7</v>
      </c>
      <c r="C123" s="23">
        <v>9</v>
      </c>
      <c r="D123" s="22" t="str">
        <f>IF(tbLancamentos[[#This Row],[Código]]="","",IFERROR(INDEX(tbCategorias[Grupo],MATCH(tbLancamentos[[#This Row],[Código]],tbCategorias[Código],0)),"CÓDIGO INVÁLIDO"))</f>
        <v>Cartões e Dívidas</v>
      </c>
      <c r="E123" s="22" t="str">
        <f>IF(tbLancamentos[[#This Row],[Código]]="","",IFERROR(INDEX(tbCategorias[Subcategoria],MATCH(tbLancamentos[[#This Row],[Código]],tbCategorias[Código],0)),"CÓDIGO INVÁLIDO"))</f>
        <v>Cartão Matheus</v>
      </c>
      <c r="F123" s="23" t="s">
        <v>138</v>
      </c>
      <c r="G123" s="24">
        <v>175</v>
      </c>
      <c r="H123" s="23"/>
      <c r="I123" s="23"/>
      <c r="J123" s="23" t="s">
        <v>122</v>
      </c>
      <c r="K123" s="23" t="str">
        <f>IF(tbLancamentos[[#This Row],[Data]]="","",TEXT(tbLancamentos[[#This Row],[Mês]],"00")&amp;"-"&amp;CHOOSE(tbLancamentos[[#This Row],[Mês]],"JAN","FEV","MAR","ABR","MAI","JUN","JUL","AGO","SET","OUT","NOV","DEZ"))</f>
        <v>07-JUL</v>
      </c>
    </row>
    <row r="124" spans="1:11" x14ac:dyDescent="0.3">
      <c r="A124" s="21">
        <v>45870</v>
      </c>
      <c r="B124" s="22">
        <f>IF(tbLancamentos[[#This Row],[Data]]="","",MONTH(tbLancamentos[[#This Row],[Data]]))</f>
        <v>8</v>
      </c>
      <c r="C124" s="23">
        <v>6</v>
      </c>
      <c r="D124" s="22" t="str">
        <f>IF(tbLancamentos[[#This Row],[Código]]="","",IFERROR(INDEX(tbCategorias[Grupo],MATCH(tbLancamentos[[#This Row],[Código]],tbCategorias[Código],0)),"CÓDIGO INVÁLIDO"))</f>
        <v>Moradia</v>
      </c>
      <c r="E124" s="22" t="str">
        <f>IF(tbLancamentos[[#This Row],[Código]]="","",IFERROR(INDEX(tbCategorias[Subcategoria],MATCH(tbLancamentos[[#This Row],[Código]],tbCategorias[Código],0)),"CÓDIGO INVÁLIDO"))</f>
        <v>Energia</v>
      </c>
      <c r="F124" s="23" t="s">
        <v>121</v>
      </c>
      <c r="G124" s="24">
        <v>150</v>
      </c>
      <c r="H124" s="23"/>
      <c r="I124" s="23"/>
      <c r="J124" s="23" t="s">
        <v>122</v>
      </c>
      <c r="K124" s="23" t="str">
        <f>IF(tbLancamentos[[#This Row],[Data]]="","",TEXT(tbLancamentos[[#This Row],[Mês]],"00")&amp;"-"&amp;CHOOSE(tbLancamentos[[#This Row],[Mês]],"JAN","FEV","MAR","ABR","MAI","JUN","JUL","AGO","SET","OUT","NOV","DEZ"))</f>
        <v>08-AGO</v>
      </c>
    </row>
    <row r="125" spans="1:11" x14ac:dyDescent="0.3">
      <c r="A125" s="21">
        <v>45870</v>
      </c>
      <c r="B125" s="22">
        <f>IF(tbLancamentos[[#This Row],[Data]]="","",MONTH(tbLancamentos[[#This Row],[Data]]))</f>
        <v>8</v>
      </c>
      <c r="C125" s="23">
        <v>7</v>
      </c>
      <c r="D125" s="22" t="str">
        <f>IF(tbLancamentos[[#This Row],[Código]]="","",IFERROR(INDEX(tbCategorias[Grupo],MATCH(tbLancamentos[[#This Row],[Código]],tbCategorias[Código],0)),"CÓDIGO INVÁLIDO"))</f>
        <v>Moradia</v>
      </c>
      <c r="E125" s="22" t="str">
        <f>IF(tbLancamentos[[#This Row],[Código]]="","",IFERROR(INDEX(tbCategorias[Subcategoria],MATCH(tbLancamentos[[#This Row],[Código]],tbCategorias[Código],0)),"CÓDIGO INVÁLIDO"))</f>
        <v>Água</v>
      </c>
      <c r="F125" s="23" t="s">
        <v>123</v>
      </c>
      <c r="G125" s="24">
        <v>77</v>
      </c>
      <c r="H125" s="23"/>
      <c r="I125" s="23"/>
      <c r="J125" s="23" t="s">
        <v>122</v>
      </c>
      <c r="K125" s="23" t="str">
        <f>IF(tbLancamentos[[#This Row],[Data]]="","",TEXT(tbLancamentos[[#This Row],[Mês]],"00")&amp;"-"&amp;CHOOSE(tbLancamentos[[#This Row],[Mês]],"JAN","FEV","MAR","ABR","MAI","JUN","JUL","AGO","SET","OUT","NOV","DEZ"))</f>
        <v>08-AGO</v>
      </c>
    </row>
    <row r="126" spans="1:11" x14ac:dyDescent="0.3">
      <c r="A126" s="21">
        <v>45870</v>
      </c>
      <c r="B126" s="22">
        <f>IF(tbLancamentos[[#This Row],[Data]]="","",MONTH(tbLancamentos[[#This Row],[Data]]))</f>
        <v>8</v>
      </c>
      <c r="C126" s="23">
        <v>8</v>
      </c>
      <c r="D126" s="22" t="str">
        <f>IF(tbLancamentos[[#This Row],[Código]]="","",IFERROR(INDEX(tbCategorias[Grupo],MATCH(tbLancamentos[[#This Row],[Código]],tbCategorias[Código],0)),"CÓDIGO INVÁLIDO"))</f>
        <v>Moradia</v>
      </c>
      <c r="E126" s="22" t="str">
        <f>IF(tbLancamentos[[#This Row],[Código]]="","",IFERROR(INDEX(tbCategorias[Subcategoria],MATCH(tbLancamentos[[#This Row],[Código]],tbCategorias[Código],0)),"CÓDIGO INVÁLIDO"))</f>
        <v>Gás</v>
      </c>
      <c r="F126" s="23" t="s">
        <v>124</v>
      </c>
      <c r="G126" s="24">
        <v>55</v>
      </c>
      <c r="H126" s="23"/>
      <c r="I126" s="23"/>
      <c r="J126" s="23" t="s">
        <v>122</v>
      </c>
      <c r="K126" s="23" t="str">
        <f>IF(tbLancamentos[[#This Row],[Data]]="","",TEXT(tbLancamentos[[#This Row],[Mês]],"00")&amp;"-"&amp;CHOOSE(tbLancamentos[[#This Row],[Mês]],"JAN","FEV","MAR","ABR","MAI","JUN","JUL","AGO","SET","OUT","NOV","DEZ"))</f>
        <v>08-AGO</v>
      </c>
    </row>
    <row r="127" spans="1:11" x14ac:dyDescent="0.3">
      <c r="A127" s="21">
        <v>45870</v>
      </c>
      <c r="B127" s="22">
        <f>IF(tbLancamentos[[#This Row],[Data]]="","",MONTH(tbLancamentos[[#This Row],[Data]]))</f>
        <v>8</v>
      </c>
      <c r="C127" s="23">
        <v>11</v>
      </c>
      <c r="D127" s="22" t="str">
        <f>IF(tbLancamentos[[#This Row],[Código]]="","",IFERROR(INDEX(tbCategorias[Grupo],MATCH(tbLancamentos[[#This Row],[Código]],tbCategorias[Código],0)),"CÓDIGO INVÁLIDO"))</f>
        <v>Alimentação</v>
      </c>
      <c r="E127" s="22" t="str">
        <f>IF(tbLancamentos[[#This Row],[Código]]="","",IFERROR(INDEX(tbCategorias[Subcategoria],MATCH(tbLancamentos[[#This Row],[Código]],tbCategorias[Código],0)),"CÓDIGO INVÁLIDO"))</f>
        <v>Supermercado</v>
      </c>
      <c r="F127" s="23" t="s">
        <v>125</v>
      </c>
      <c r="G127" s="24">
        <v>450</v>
      </c>
      <c r="H127" s="23"/>
      <c r="I127" s="23"/>
      <c r="J127" s="23" t="s">
        <v>122</v>
      </c>
      <c r="K127" s="23" t="str">
        <f>IF(tbLancamentos[[#This Row],[Data]]="","",TEXT(tbLancamentos[[#This Row],[Mês]],"00")&amp;"-"&amp;CHOOSE(tbLancamentos[[#This Row],[Mês]],"JAN","FEV","MAR","ABR","MAI","JUN","JUL","AGO","SET","OUT","NOV","DEZ"))</f>
        <v>08-AGO</v>
      </c>
    </row>
    <row r="128" spans="1:11" x14ac:dyDescent="0.3">
      <c r="A128" s="21">
        <v>45870</v>
      </c>
      <c r="B128" s="22">
        <f>IF(tbLancamentos[[#This Row],[Data]]="","",MONTH(tbLancamentos[[#This Row],[Data]]))</f>
        <v>8</v>
      </c>
      <c r="C128" s="23">
        <v>12</v>
      </c>
      <c r="D128" s="22" t="str">
        <f>IF(tbLancamentos[[#This Row],[Código]]="","",IFERROR(INDEX(tbCategorias[Grupo],MATCH(tbLancamentos[[#This Row],[Código]],tbCategorias[Código],0)),"CÓDIGO INVÁLIDO"))</f>
        <v>Alimentação</v>
      </c>
      <c r="E128" s="22" t="str">
        <f>IF(tbLancamentos[[#This Row],[Código]]="","",IFERROR(INDEX(tbCategorias[Subcategoria],MATCH(tbLancamentos[[#This Row],[Código]],tbCategorias[Código],0)),"CÓDIGO INVÁLIDO"))</f>
        <v>Restaurante</v>
      </c>
      <c r="F128" s="23" t="s">
        <v>126</v>
      </c>
      <c r="G128" s="24">
        <v>140</v>
      </c>
      <c r="H128" s="23"/>
      <c r="I128" s="23"/>
      <c r="J128" s="23" t="s">
        <v>122</v>
      </c>
      <c r="K128" s="23" t="str">
        <f>IF(tbLancamentos[[#This Row],[Data]]="","",TEXT(tbLancamentos[[#This Row],[Mês]],"00")&amp;"-"&amp;CHOOSE(tbLancamentos[[#This Row],[Mês]],"JAN","FEV","MAR","ABR","MAI","JUN","JUL","AGO","SET","OUT","NOV","DEZ"))</f>
        <v>08-AGO</v>
      </c>
    </row>
    <row r="129" spans="1:11" x14ac:dyDescent="0.3">
      <c r="A129" s="21">
        <v>45870</v>
      </c>
      <c r="B129" s="22">
        <f>IF(tbLancamentos[[#This Row],[Data]]="","",MONTH(tbLancamentos[[#This Row],[Data]]))</f>
        <v>8</v>
      </c>
      <c r="C129" s="23">
        <v>13</v>
      </c>
      <c r="D129" s="22" t="str">
        <f>IF(tbLancamentos[[#This Row],[Código]]="","",IFERROR(INDEX(tbCategorias[Grupo],MATCH(tbLancamentos[[#This Row],[Código]],tbCategorias[Código],0)),"CÓDIGO INVÁLIDO"))</f>
        <v>Alimentação</v>
      </c>
      <c r="E129" s="22" t="str">
        <f>IF(tbLancamentos[[#This Row],[Código]]="","",IFERROR(INDEX(tbCategorias[Subcategoria],MATCH(tbLancamentos[[#This Row],[Código]],tbCategorias[Código],0)),"CÓDIGO INVÁLIDO"))</f>
        <v>Café / Almoço</v>
      </c>
      <c r="F129" s="23" t="s">
        <v>127</v>
      </c>
      <c r="G129" s="24">
        <v>250</v>
      </c>
      <c r="H129" s="23"/>
      <c r="I129" s="23"/>
      <c r="J129" s="23" t="s">
        <v>122</v>
      </c>
      <c r="K129" s="23" t="str">
        <f>IF(tbLancamentos[[#This Row],[Data]]="","",TEXT(tbLancamentos[[#This Row],[Mês]],"00")&amp;"-"&amp;CHOOSE(tbLancamentos[[#This Row],[Mês]],"JAN","FEV","MAR","ABR","MAI","JUN","JUL","AGO","SET","OUT","NOV","DEZ"))</f>
        <v>08-AGO</v>
      </c>
    </row>
    <row r="130" spans="1:11" x14ac:dyDescent="0.3">
      <c r="A130" s="21">
        <v>45870</v>
      </c>
      <c r="B130" s="22">
        <f>IF(tbLancamentos[[#This Row],[Data]]="","",MONTH(tbLancamentos[[#This Row],[Data]]))</f>
        <v>8</v>
      </c>
      <c r="C130" s="23">
        <v>15</v>
      </c>
      <c r="D130" s="22" t="str">
        <f>IF(tbLancamentos[[#This Row],[Código]]="","",IFERROR(INDEX(tbCategorias[Grupo],MATCH(tbLancamentos[[#This Row],[Código]],tbCategorias[Código],0)),"CÓDIGO INVÁLIDO"))</f>
        <v>Comunicação</v>
      </c>
      <c r="E130" s="22" t="str">
        <f>IF(tbLancamentos[[#This Row],[Código]]="","",IFERROR(INDEX(tbCategorias[Subcategoria],MATCH(tbLancamentos[[#This Row],[Código]],tbCategorias[Código],0)),"CÓDIGO INVÁLIDO"))</f>
        <v>Celular</v>
      </c>
      <c r="F130" s="23" t="s">
        <v>128</v>
      </c>
      <c r="G130" s="24">
        <v>45</v>
      </c>
      <c r="H130" s="23"/>
      <c r="I130" s="23"/>
      <c r="J130" s="23" t="s">
        <v>122</v>
      </c>
      <c r="K130" s="23" t="str">
        <f>IF(tbLancamentos[[#This Row],[Data]]="","",TEXT(tbLancamentos[[#This Row],[Mês]],"00")&amp;"-"&amp;CHOOSE(tbLancamentos[[#This Row],[Mês]],"JAN","FEV","MAR","ABR","MAI","JUN","JUL","AGO","SET","OUT","NOV","DEZ"))</f>
        <v>08-AGO</v>
      </c>
    </row>
    <row r="131" spans="1:11" x14ac:dyDescent="0.3">
      <c r="A131" s="21">
        <v>45870</v>
      </c>
      <c r="B131" s="22">
        <f>IF(tbLancamentos[[#This Row],[Data]]="","",MONTH(tbLancamentos[[#This Row],[Data]]))</f>
        <v>8</v>
      </c>
      <c r="C131" s="23">
        <v>16</v>
      </c>
      <c r="D131" s="22" t="str">
        <f>IF(tbLancamentos[[#This Row],[Código]]="","",IFERROR(INDEX(tbCategorias[Grupo],MATCH(tbLancamentos[[#This Row],[Código]],tbCategorias[Código],0)),"CÓDIGO INVÁLIDO"))</f>
        <v>Comunicação</v>
      </c>
      <c r="E131" s="22" t="str">
        <f>IF(tbLancamentos[[#This Row],[Código]]="","",IFERROR(INDEX(tbCategorias[Subcategoria],MATCH(tbLancamentos[[#This Row],[Código]],tbCategorias[Código],0)),"CÓDIGO INVÁLIDO"))</f>
        <v>Internet</v>
      </c>
      <c r="F131" s="23" t="s">
        <v>129</v>
      </c>
      <c r="G131" s="24">
        <v>89</v>
      </c>
      <c r="H131" s="23"/>
      <c r="I131" s="23"/>
      <c r="J131" s="23" t="s">
        <v>122</v>
      </c>
      <c r="K131" s="23" t="str">
        <f>IF(tbLancamentos[[#This Row],[Data]]="","",TEXT(tbLancamentos[[#This Row],[Mês]],"00")&amp;"-"&amp;CHOOSE(tbLancamentos[[#This Row],[Mês]],"JAN","FEV","MAR","ABR","MAI","JUN","JUL","AGO","SET","OUT","NOV","DEZ"))</f>
        <v>08-AGO</v>
      </c>
    </row>
    <row r="132" spans="1:11" x14ac:dyDescent="0.3">
      <c r="A132" s="21">
        <v>45870</v>
      </c>
      <c r="B132" s="22">
        <f>IF(tbLancamentos[[#This Row],[Data]]="","",MONTH(tbLancamentos[[#This Row],[Data]]))</f>
        <v>8</v>
      </c>
      <c r="C132" s="23">
        <v>17</v>
      </c>
      <c r="D132" s="22" t="str">
        <f>IF(tbLancamentos[[#This Row],[Código]]="","",IFERROR(INDEX(tbCategorias[Grupo],MATCH(tbLancamentos[[#This Row],[Código]],tbCategorias[Código],0)),"CÓDIGO INVÁLIDO"))</f>
        <v>Comunicação</v>
      </c>
      <c r="E132" s="22" t="str">
        <f>IF(tbLancamentos[[#This Row],[Código]]="","",IFERROR(INDEX(tbCategorias[Subcategoria],MATCH(tbLancamentos[[#This Row],[Código]],tbCategorias[Código],0)),"CÓDIGO INVÁLIDO"))</f>
        <v>Streaming (outros)</v>
      </c>
      <c r="F132" s="23" t="s">
        <v>130</v>
      </c>
      <c r="G132" s="24">
        <v>24</v>
      </c>
      <c r="H132" s="23"/>
      <c r="I132" s="23"/>
      <c r="J132" s="23" t="s">
        <v>122</v>
      </c>
      <c r="K132" s="23" t="str">
        <f>IF(tbLancamentos[[#This Row],[Data]]="","",TEXT(tbLancamentos[[#This Row],[Mês]],"00")&amp;"-"&amp;CHOOSE(tbLancamentos[[#This Row],[Mês]],"JAN","FEV","MAR","ABR","MAI","JUN","JUL","AGO","SET","OUT","NOV","DEZ"))</f>
        <v>08-AGO</v>
      </c>
    </row>
    <row r="133" spans="1:11" x14ac:dyDescent="0.3">
      <c r="A133" s="21">
        <v>45870</v>
      </c>
      <c r="B133" s="22">
        <f>IF(tbLancamentos[[#This Row],[Data]]="","",MONTH(tbLancamentos[[#This Row],[Data]]))</f>
        <v>8</v>
      </c>
      <c r="C133" s="23">
        <v>18</v>
      </c>
      <c r="D133" s="22" t="str">
        <f>IF(tbLancamentos[[#This Row],[Código]]="","",IFERROR(INDEX(tbCategorias[Grupo],MATCH(tbLancamentos[[#This Row],[Código]],tbCategorias[Código],0)),"CÓDIGO INVÁLIDO"))</f>
        <v>Comunicação</v>
      </c>
      <c r="E133" s="22" t="str">
        <f>IF(tbLancamentos[[#This Row],[Código]]="","",IFERROR(INDEX(tbCategorias[Subcategoria],MATCH(tbLancamentos[[#This Row],[Código]],tbCategorias[Código],0)),"CÓDIGO INVÁLIDO"))</f>
        <v>Netflix</v>
      </c>
      <c r="F133" s="23" t="s">
        <v>131</v>
      </c>
      <c r="G133" s="24">
        <v>22</v>
      </c>
      <c r="H133" s="23"/>
      <c r="I133" s="23"/>
      <c r="J133" s="23" t="s">
        <v>122</v>
      </c>
      <c r="K133" s="23" t="str">
        <f>IF(tbLancamentos[[#This Row],[Data]]="","",TEXT(tbLancamentos[[#This Row],[Mês]],"00")&amp;"-"&amp;CHOOSE(tbLancamentos[[#This Row],[Mês]],"JAN","FEV","MAR","ABR","MAI","JUN","JUL","AGO","SET","OUT","NOV","DEZ"))</f>
        <v>08-AGO</v>
      </c>
    </row>
    <row r="134" spans="1:11" x14ac:dyDescent="0.3">
      <c r="A134" s="21">
        <v>45870</v>
      </c>
      <c r="B134" s="22">
        <f>IF(tbLancamentos[[#This Row],[Data]]="","",MONTH(tbLancamentos[[#This Row],[Data]]))</f>
        <v>8</v>
      </c>
      <c r="C134" s="23">
        <v>19</v>
      </c>
      <c r="D134" s="22" t="str">
        <f>IF(tbLancamentos[[#This Row],[Código]]="","",IFERROR(INDEX(tbCategorias[Grupo],MATCH(tbLancamentos[[#This Row],[Código]],tbCategorias[Código],0)),"CÓDIGO INVÁLIDO"))</f>
        <v>Comunicação</v>
      </c>
      <c r="E134" s="22" t="str">
        <f>IF(tbLancamentos[[#This Row],[Código]]="","",IFERROR(INDEX(tbCategorias[Subcategoria],MATCH(tbLancamentos[[#This Row],[Código]],tbCategorias[Código],0)),"CÓDIGO INVÁLIDO"))</f>
        <v>Amazon Prime</v>
      </c>
      <c r="F134" s="23" t="s">
        <v>132</v>
      </c>
      <c r="G134" s="24">
        <v>11</v>
      </c>
      <c r="H134" s="23"/>
      <c r="I134" s="23"/>
      <c r="J134" s="23" t="s">
        <v>122</v>
      </c>
      <c r="K134" s="23" t="str">
        <f>IF(tbLancamentos[[#This Row],[Data]]="","",TEXT(tbLancamentos[[#This Row],[Mês]],"00")&amp;"-"&amp;CHOOSE(tbLancamentos[[#This Row],[Mês]],"JAN","FEV","MAR","ABR","MAI","JUN","JUL","AGO","SET","OUT","NOV","DEZ"))</f>
        <v>08-AGO</v>
      </c>
    </row>
    <row r="135" spans="1:11" x14ac:dyDescent="0.3">
      <c r="A135" s="21">
        <v>45870</v>
      </c>
      <c r="B135" s="22">
        <f>IF(tbLancamentos[[#This Row],[Data]]="","",MONTH(tbLancamentos[[#This Row],[Data]]))</f>
        <v>8</v>
      </c>
      <c r="C135" s="23">
        <v>20</v>
      </c>
      <c r="D135" s="22" t="str">
        <f>IF(tbLancamentos[[#This Row],[Código]]="","",IFERROR(INDEX(tbCategorias[Grupo],MATCH(tbLancamentos[[#This Row],[Código]],tbCategorias[Código],0)),"CÓDIGO INVÁLIDO"))</f>
        <v>Comunicação</v>
      </c>
      <c r="E135" s="22" t="str">
        <f>IF(tbLancamentos[[#This Row],[Código]]="","",IFERROR(INDEX(tbCategorias[Subcategoria],MATCH(tbLancamentos[[#This Row],[Código]],tbCategorias[Código],0)),"CÓDIGO INVÁLIDO"))</f>
        <v>Max</v>
      </c>
      <c r="F135" s="23" t="s">
        <v>133</v>
      </c>
      <c r="G135" s="24">
        <v>45</v>
      </c>
      <c r="H135" s="23"/>
      <c r="I135" s="23"/>
      <c r="J135" s="23" t="s">
        <v>122</v>
      </c>
      <c r="K135" s="23" t="str">
        <f>IF(tbLancamentos[[#This Row],[Data]]="","",TEXT(tbLancamentos[[#This Row],[Mês]],"00")&amp;"-"&amp;CHOOSE(tbLancamentos[[#This Row],[Mês]],"JAN","FEV","MAR","ABR","MAI","JUN","JUL","AGO","SET","OUT","NOV","DEZ"))</f>
        <v>08-AGO</v>
      </c>
    </row>
    <row r="136" spans="1:11" x14ac:dyDescent="0.3">
      <c r="A136" s="21">
        <v>45870</v>
      </c>
      <c r="B136" s="22">
        <f>IF(tbLancamentos[[#This Row],[Data]]="","",MONTH(tbLancamentos[[#This Row],[Data]]))</f>
        <v>8</v>
      </c>
      <c r="C136" s="23">
        <v>40</v>
      </c>
      <c r="D136" s="22" t="str">
        <f>IF(tbLancamentos[[#This Row],[Código]]="","",IFERROR(INDEX(tbCategorias[Grupo],MATCH(tbLancamentos[[#This Row],[Código]],tbCategorias[Código],0)),"CÓDIGO INVÁLIDO"))</f>
        <v>Transporte</v>
      </c>
      <c r="E136" s="22" t="str">
        <f>IF(tbLancamentos[[#This Row],[Código]]="","",IFERROR(INDEX(tbCategorias[Subcategoria],MATCH(tbLancamentos[[#This Row],[Código]],tbCategorias[Código],0)),"CÓDIGO INVÁLIDO"))</f>
        <v>Aplicativos (Uber / 99)</v>
      </c>
      <c r="F136" s="23" t="s">
        <v>134</v>
      </c>
      <c r="G136" s="24">
        <v>45</v>
      </c>
      <c r="H136" s="23"/>
      <c r="I136" s="23"/>
      <c r="J136" s="23" t="s">
        <v>122</v>
      </c>
      <c r="K136" s="23" t="str">
        <f>IF(tbLancamentos[[#This Row],[Data]]="","",TEXT(tbLancamentos[[#This Row],[Mês]],"00")&amp;"-"&amp;CHOOSE(tbLancamentos[[#This Row],[Mês]],"JAN","FEV","MAR","ABR","MAI","JUN","JUL","AGO","SET","OUT","NOV","DEZ"))</f>
        <v>08-AGO</v>
      </c>
    </row>
    <row r="137" spans="1:11" x14ac:dyDescent="0.3">
      <c r="A137" s="21">
        <v>45870</v>
      </c>
      <c r="B137" s="22">
        <f>IF(tbLancamentos[[#This Row],[Data]]="","",MONTH(tbLancamentos[[#This Row],[Data]]))</f>
        <v>8</v>
      </c>
      <c r="C137" s="23">
        <v>43</v>
      </c>
      <c r="D137" s="22" t="str">
        <f>IF(tbLancamentos[[#This Row],[Código]]="","",IFERROR(INDEX(tbCategorias[Grupo],MATCH(tbLancamentos[[#This Row],[Código]],tbCategorias[Código],0)),"CÓDIGO INVÁLIDO"))</f>
        <v>Transporte</v>
      </c>
      <c r="E137" s="22" t="str">
        <f>IF(tbLancamentos[[#This Row],[Código]]="","",IFERROR(INDEX(tbCategorias[Subcategoria],MATCH(tbLancamentos[[#This Row],[Código]],tbCategorias[Código],0)),"CÓDIGO INVÁLIDO"))</f>
        <v>Transporte Trabalho (Jhenis)</v>
      </c>
      <c r="F137" s="23" t="s">
        <v>135</v>
      </c>
      <c r="G137" s="24">
        <v>143</v>
      </c>
      <c r="H137" s="23"/>
      <c r="I137" s="23"/>
      <c r="J137" s="23" t="s">
        <v>122</v>
      </c>
      <c r="K137" s="23" t="str">
        <f>IF(tbLancamentos[[#This Row],[Data]]="","",TEXT(tbLancamentos[[#This Row],[Mês]],"00")&amp;"-"&amp;CHOOSE(tbLancamentos[[#This Row],[Mês]],"JAN","FEV","MAR","ABR","MAI","JUN","JUL","AGO","SET","OUT","NOV","DEZ"))</f>
        <v>08-AGO</v>
      </c>
    </row>
    <row r="138" spans="1:11" x14ac:dyDescent="0.3">
      <c r="A138" s="21">
        <v>45870</v>
      </c>
      <c r="B138" s="22">
        <f>IF(tbLancamentos[[#This Row],[Data]]="","",MONTH(tbLancamentos[[#This Row],[Data]]))</f>
        <v>8</v>
      </c>
      <c r="C138" s="23">
        <v>44</v>
      </c>
      <c r="D138" s="22" t="str">
        <f>IF(tbLancamentos[[#This Row],[Código]]="","",IFERROR(INDEX(tbCategorias[Grupo],MATCH(tbLancamentos[[#This Row],[Código]],tbCategorias[Código],0)),"CÓDIGO INVÁLIDO"))</f>
        <v>Transporte</v>
      </c>
      <c r="E138" s="22" t="str">
        <f>IF(tbLancamentos[[#This Row],[Código]]="","",IFERROR(INDEX(tbCategorias[Subcategoria],MATCH(tbLancamentos[[#This Row],[Código]],tbCategorias[Código],0)),"CÓDIGO INVÁLIDO"))</f>
        <v>Transporte Trabalho (Matheus)</v>
      </c>
      <c r="F138" s="23" t="s">
        <v>136</v>
      </c>
      <c r="G138" s="24">
        <v>240</v>
      </c>
      <c r="H138" s="23"/>
      <c r="I138" s="23"/>
      <c r="J138" s="23" t="s">
        <v>122</v>
      </c>
      <c r="K138" s="23" t="str">
        <f>IF(tbLancamentos[[#This Row],[Data]]="","",TEXT(tbLancamentos[[#This Row],[Mês]],"00")&amp;"-"&amp;CHOOSE(tbLancamentos[[#This Row],[Mês]],"JAN","FEV","MAR","ABR","MAI","JUN","JUL","AGO","SET","OUT","NOV","DEZ"))</f>
        <v>08-AGO</v>
      </c>
    </row>
    <row r="139" spans="1:11" x14ac:dyDescent="0.3">
      <c r="A139" s="21">
        <v>45870</v>
      </c>
      <c r="B139" s="22">
        <f>IF(tbLancamentos[[#This Row],[Data]]="","",MONTH(tbLancamentos[[#This Row],[Data]]))</f>
        <v>8</v>
      </c>
      <c r="C139" s="23">
        <v>4</v>
      </c>
      <c r="D139" s="22" t="str">
        <f>IF(tbLancamentos[[#This Row],[Código]]="","",IFERROR(INDEX(tbCategorias[Grupo],MATCH(tbLancamentos[[#This Row],[Código]],tbCategorias[Código],0)),"CÓDIGO INVÁLIDO"))</f>
        <v>Cartões e Dívidas</v>
      </c>
      <c r="E139" s="22" t="str">
        <f>IF(tbLancamentos[[#This Row],[Código]]="","",IFERROR(INDEX(tbCategorias[Subcategoria],MATCH(tbLancamentos[[#This Row],[Código]],tbCategorias[Código],0)),"CÓDIGO INVÁLIDO"))</f>
        <v>Cartão Jhenismara</v>
      </c>
      <c r="F139" s="23" t="s">
        <v>137</v>
      </c>
      <c r="G139" s="24">
        <v>1400</v>
      </c>
      <c r="H139" s="23"/>
      <c r="I139" s="23"/>
      <c r="J139" s="23" t="s">
        <v>122</v>
      </c>
      <c r="K139" s="23" t="str">
        <f>IF(tbLancamentos[[#This Row],[Data]]="","",TEXT(tbLancamentos[[#This Row],[Mês]],"00")&amp;"-"&amp;CHOOSE(tbLancamentos[[#This Row],[Mês]],"JAN","FEV","MAR","ABR","MAI","JUN","JUL","AGO","SET","OUT","NOV","DEZ"))</f>
        <v>08-AGO</v>
      </c>
    </row>
    <row r="140" spans="1:11" x14ac:dyDescent="0.3">
      <c r="A140" s="21">
        <v>45870</v>
      </c>
      <c r="B140" s="22">
        <f>IF(tbLancamentos[[#This Row],[Data]]="","",MONTH(tbLancamentos[[#This Row],[Data]]))</f>
        <v>8</v>
      </c>
      <c r="C140" s="23">
        <v>9</v>
      </c>
      <c r="D140" s="22" t="str">
        <f>IF(tbLancamentos[[#This Row],[Código]]="","",IFERROR(INDEX(tbCategorias[Grupo],MATCH(tbLancamentos[[#This Row],[Código]],tbCategorias[Código],0)),"CÓDIGO INVÁLIDO"))</f>
        <v>Cartões e Dívidas</v>
      </c>
      <c r="E140" s="22" t="str">
        <f>IF(tbLancamentos[[#This Row],[Código]]="","",IFERROR(INDEX(tbCategorias[Subcategoria],MATCH(tbLancamentos[[#This Row],[Código]],tbCategorias[Código],0)),"CÓDIGO INVÁLIDO"))</f>
        <v>Cartão Matheus</v>
      </c>
      <c r="F140" s="23" t="s">
        <v>138</v>
      </c>
      <c r="G140" s="24">
        <v>175</v>
      </c>
      <c r="H140" s="23"/>
      <c r="I140" s="23"/>
      <c r="J140" s="23" t="s">
        <v>122</v>
      </c>
      <c r="K140" s="23" t="str">
        <f>IF(tbLancamentos[[#This Row],[Data]]="","",TEXT(tbLancamentos[[#This Row],[Mês]],"00")&amp;"-"&amp;CHOOSE(tbLancamentos[[#This Row],[Mês]],"JAN","FEV","MAR","ABR","MAI","JUN","JUL","AGO","SET","OUT","NOV","DEZ"))</f>
        <v>08-AGO</v>
      </c>
    </row>
    <row r="141" spans="1:11" x14ac:dyDescent="0.3">
      <c r="A141" s="21">
        <v>45901</v>
      </c>
      <c r="B141" s="22">
        <f>IF(tbLancamentos[[#This Row],[Data]]="","",MONTH(tbLancamentos[[#This Row],[Data]]))</f>
        <v>9</v>
      </c>
      <c r="C141" s="23">
        <v>6</v>
      </c>
      <c r="D141" s="22" t="str">
        <f>IF(tbLancamentos[[#This Row],[Código]]="","",IFERROR(INDEX(tbCategorias[Grupo],MATCH(tbLancamentos[[#This Row],[Código]],tbCategorias[Código],0)),"CÓDIGO INVÁLIDO"))</f>
        <v>Moradia</v>
      </c>
      <c r="E141" s="22" t="str">
        <f>IF(tbLancamentos[[#This Row],[Código]]="","",IFERROR(INDEX(tbCategorias[Subcategoria],MATCH(tbLancamentos[[#This Row],[Código]],tbCategorias[Código],0)),"CÓDIGO INVÁLIDO"))</f>
        <v>Energia</v>
      </c>
      <c r="F141" s="23" t="s">
        <v>121</v>
      </c>
      <c r="G141" s="24">
        <v>150</v>
      </c>
      <c r="H141" s="23"/>
      <c r="I141" s="23"/>
      <c r="J141" s="23" t="s">
        <v>122</v>
      </c>
      <c r="K141" s="23" t="str">
        <f>IF(tbLancamentos[[#This Row],[Data]]="","",TEXT(tbLancamentos[[#This Row],[Mês]],"00")&amp;"-"&amp;CHOOSE(tbLancamentos[[#This Row],[Mês]],"JAN","FEV","MAR","ABR","MAI","JUN","JUL","AGO","SET","OUT","NOV","DEZ"))</f>
        <v>09-SET</v>
      </c>
    </row>
    <row r="142" spans="1:11" x14ac:dyDescent="0.3">
      <c r="A142" s="21">
        <v>45901</v>
      </c>
      <c r="B142" s="22">
        <f>IF(tbLancamentos[[#This Row],[Data]]="","",MONTH(tbLancamentos[[#This Row],[Data]]))</f>
        <v>9</v>
      </c>
      <c r="C142" s="23">
        <v>7</v>
      </c>
      <c r="D142" s="22" t="str">
        <f>IF(tbLancamentos[[#This Row],[Código]]="","",IFERROR(INDEX(tbCategorias[Grupo],MATCH(tbLancamentos[[#This Row],[Código]],tbCategorias[Código],0)),"CÓDIGO INVÁLIDO"))</f>
        <v>Moradia</v>
      </c>
      <c r="E142" s="22" t="str">
        <f>IF(tbLancamentos[[#This Row],[Código]]="","",IFERROR(INDEX(tbCategorias[Subcategoria],MATCH(tbLancamentos[[#This Row],[Código]],tbCategorias[Código],0)),"CÓDIGO INVÁLIDO"))</f>
        <v>Água</v>
      </c>
      <c r="F142" s="23" t="s">
        <v>123</v>
      </c>
      <c r="G142" s="24">
        <v>77</v>
      </c>
      <c r="H142" s="23"/>
      <c r="I142" s="23"/>
      <c r="J142" s="23" t="s">
        <v>122</v>
      </c>
      <c r="K142" s="23" t="str">
        <f>IF(tbLancamentos[[#This Row],[Data]]="","",TEXT(tbLancamentos[[#This Row],[Mês]],"00")&amp;"-"&amp;CHOOSE(tbLancamentos[[#This Row],[Mês]],"JAN","FEV","MAR","ABR","MAI","JUN","JUL","AGO","SET","OUT","NOV","DEZ"))</f>
        <v>09-SET</v>
      </c>
    </row>
    <row r="143" spans="1:11" x14ac:dyDescent="0.3">
      <c r="A143" s="21">
        <v>45901</v>
      </c>
      <c r="B143" s="22">
        <f>IF(tbLancamentos[[#This Row],[Data]]="","",MONTH(tbLancamentos[[#This Row],[Data]]))</f>
        <v>9</v>
      </c>
      <c r="C143" s="23">
        <v>8</v>
      </c>
      <c r="D143" s="22" t="str">
        <f>IF(tbLancamentos[[#This Row],[Código]]="","",IFERROR(INDEX(tbCategorias[Grupo],MATCH(tbLancamentos[[#This Row],[Código]],tbCategorias[Código],0)),"CÓDIGO INVÁLIDO"))</f>
        <v>Moradia</v>
      </c>
      <c r="E143" s="22" t="str">
        <f>IF(tbLancamentos[[#This Row],[Código]]="","",IFERROR(INDEX(tbCategorias[Subcategoria],MATCH(tbLancamentos[[#This Row],[Código]],tbCategorias[Código],0)),"CÓDIGO INVÁLIDO"))</f>
        <v>Gás</v>
      </c>
      <c r="F143" s="23" t="s">
        <v>124</v>
      </c>
      <c r="G143" s="24">
        <v>55</v>
      </c>
      <c r="H143" s="23"/>
      <c r="I143" s="23"/>
      <c r="J143" s="23" t="s">
        <v>122</v>
      </c>
      <c r="K143" s="23" t="str">
        <f>IF(tbLancamentos[[#This Row],[Data]]="","",TEXT(tbLancamentos[[#This Row],[Mês]],"00")&amp;"-"&amp;CHOOSE(tbLancamentos[[#This Row],[Mês]],"JAN","FEV","MAR","ABR","MAI","JUN","JUL","AGO","SET","OUT","NOV","DEZ"))</f>
        <v>09-SET</v>
      </c>
    </row>
    <row r="144" spans="1:11" x14ac:dyDescent="0.3">
      <c r="A144" s="21">
        <v>45901</v>
      </c>
      <c r="B144" s="22">
        <f>IF(tbLancamentos[[#This Row],[Data]]="","",MONTH(tbLancamentos[[#This Row],[Data]]))</f>
        <v>9</v>
      </c>
      <c r="C144" s="23">
        <v>11</v>
      </c>
      <c r="D144" s="22" t="str">
        <f>IF(tbLancamentos[[#This Row],[Código]]="","",IFERROR(INDEX(tbCategorias[Grupo],MATCH(tbLancamentos[[#This Row],[Código]],tbCategorias[Código],0)),"CÓDIGO INVÁLIDO"))</f>
        <v>Alimentação</v>
      </c>
      <c r="E144" s="22" t="str">
        <f>IF(tbLancamentos[[#This Row],[Código]]="","",IFERROR(INDEX(tbCategorias[Subcategoria],MATCH(tbLancamentos[[#This Row],[Código]],tbCategorias[Código],0)),"CÓDIGO INVÁLIDO"))</f>
        <v>Supermercado</v>
      </c>
      <c r="F144" s="23" t="s">
        <v>125</v>
      </c>
      <c r="G144" s="24">
        <v>450</v>
      </c>
      <c r="H144" s="23"/>
      <c r="I144" s="23"/>
      <c r="J144" s="23" t="s">
        <v>122</v>
      </c>
      <c r="K144" s="23" t="str">
        <f>IF(tbLancamentos[[#This Row],[Data]]="","",TEXT(tbLancamentos[[#This Row],[Mês]],"00")&amp;"-"&amp;CHOOSE(tbLancamentos[[#This Row],[Mês]],"JAN","FEV","MAR","ABR","MAI","JUN","JUL","AGO","SET","OUT","NOV","DEZ"))</f>
        <v>09-SET</v>
      </c>
    </row>
    <row r="145" spans="1:11" x14ac:dyDescent="0.3">
      <c r="A145" s="21">
        <v>45901</v>
      </c>
      <c r="B145" s="22">
        <f>IF(tbLancamentos[[#This Row],[Data]]="","",MONTH(tbLancamentos[[#This Row],[Data]]))</f>
        <v>9</v>
      </c>
      <c r="C145" s="23">
        <v>12</v>
      </c>
      <c r="D145" s="22" t="str">
        <f>IF(tbLancamentos[[#This Row],[Código]]="","",IFERROR(INDEX(tbCategorias[Grupo],MATCH(tbLancamentos[[#This Row],[Código]],tbCategorias[Código],0)),"CÓDIGO INVÁLIDO"))</f>
        <v>Alimentação</v>
      </c>
      <c r="E145" s="22" t="str">
        <f>IF(tbLancamentos[[#This Row],[Código]]="","",IFERROR(INDEX(tbCategorias[Subcategoria],MATCH(tbLancamentos[[#This Row],[Código]],tbCategorias[Código],0)),"CÓDIGO INVÁLIDO"))</f>
        <v>Restaurante</v>
      </c>
      <c r="F145" s="23" t="s">
        <v>126</v>
      </c>
      <c r="G145" s="24">
        <v>140</v>
      </c>
      <c r="H145" s="23"/>
      <c r="I145" s="23"/>
      <c r="J145" s="23" t="s">
        <v>122</v>
      </c>
      <c r="K145" s="23" t="str">
        <f>IF(tbLancamentos[[#This Row],[Data]]="","",TEXT(tbLancamentos[[#This Row],[Mês]],"00")&amp;"-"&amp;CHOOSE(tbLancamentos[[#This Row],[Mês]],"JAN","FEV","MAR","ABR","MAI","JUN","JUL","AGO","SET","OUT","NOV","DEZ"))</f>
        <v>09-SET</v>
      </c>
    </row>
    <row r="146" spans="1:11" x14ac:dyDescent="0.3">
      <c r="A146" s="21">
        <v>45901</v>
      </c>
      <c r="B146" s="22">
        <f>IF(tbLancamentos[[#This Row],[Data]]="","",MONTH(tbLancamentos[[#This Row],[Data]]))</f>
        <v>9</v>
      </c>
      <c r="C146" s="23">
        <v>13</v>
      </c>
      <c r="D146" s="22" t="str">
        <f>IF(tbLancamentos[[#This Row],[Código]]="","",IFERROR(INDEX(tbCategorias[Grupo],MATCH(tbLancamentos[[#This Row],[Código]],tbCategorias[Código],0)),"CÓDIGO INVÁLIDO"))</f>
        <v>Alimentação</v>
      </c>
      <c r="E146" s="22" t="str">
        <f>IF(tbLancamentos[[#This Row],[Código]]="","",IFERROR(INDEX(tbCategorias[Subcategoria],MATCH(tbLancamentos[[#This Row],[Código]],tbCategorias[Código],0)),"CÓDIGO INVÁLIDO"))</f>
        <v>Café / Almoço</v>
      </c>
      <c r="F146" s="23" t="s">
        <v>127</v>
      </c>
      <c r="G146" s="24">
        <v>250</v>
      </c>
      <c r="H146" s="23"/>
      <c r="I146" s="23"/>
      <c r="J146" s="23" t="s">
        <v>122</v>
      </c>
      <c r="K146" s="23" t="str">
        <f>IF(tbLancamentos[[#This Row],[Data]]="","",TEXT(tbLancamentos[[#This Row],[Mês]],"00")&amp;"-"&amp;CHOOSE(tbLancamentos[[#This Row],[Mês]],"JAN","FEV","MAR","ABR","MAI","JUN","JUL","AGO","SET","OUT","NOV","DEZ"))</f>
        <v>09-SET</v>
      </c>
    </row>
    <row r="147" spans="1:11" x14ac:dyDescent="0.3">
      <c r="A147" s="21">
        <v>45901</v>
      </c>
      <c r="B147" s="22">
        <f>IF(tbLancamentos[[#This Row],[Data]]="","",MONTH(tbLancamentos[[#This Row],[Data]]))</f>
        <v>9</v>
      </c>
      <c r="C147" s="23">
        <v>15</v>
      </c>
      <c r="D147" s="22" t="str">
        <f>IF(tbLancamentos[[#This Row],[Código]]="","",IFERROR(INDEX(tbCategorias[Grupo],MATCH(tbLancamentos[[#This Row],[Código]],tbCategorias[Código],0)),"CÓDIGO INVÁLIDO"))</f>
        <v>Comunicação</v>
      </c>
      <c r="E147" s="22" t="str">
        <f>IF(tbLancamentos[[#This Row],[Código]]="","",IFERROR(INDEX(tbCategorias[Subcategoria],MATCH(tbLancamentos[[#This Row],[Código]],tbCategorias[Código],0)),"CÓDIGO INVÁLIDO"))</f>
        <v>Celular</v>
      </c>
      <c r="F147" s="23" t="s">
        <v>128</v>
      </c>
      <c r="G147" s="24">
        <v>45</v>
      </c>
      <c r="H147" s="23"/>
      <c r="I147" s="23"/>
      <c r="J147" s="23" t="s">
        <v>122</v>
      </c>
      <c r="K147" s="23" t="str">
        <f>IF(tbLancamentos[[#This Row],[Data]]="","",TEXT(tbLancamentos[[#This Row],[Mês]],"00")&amp;"-"&amp;CHOOSE(tbLancamentos[[#This Row],[Mês]],"JAN","FEV","MAR","ABR","MAI","JUN","JUL","AGO","SET","OUT","NOV","DEZ"))</f>
        <v>09-SET</v>
      </c>
    </row>
    <row r="148" spans="1:11" x14ac:dyDescent="0.3">
      <c r="A148" s="21">
        <v>45901</v>
      </c>
      <c r="B148" s="22">
        <f>IF(tbLancamentos[[#This Row],[Data]]="","",MONTH(tbLancamentos[[#This Row],[Data]]))</f>
        <v>9</v>
      </c>
      <c r="C148" s="23">
        <v>16</v>
      </c>
      <c r="D148" s="22" t="str">
        <f>IF(tbLancamentos[[#This Row],[Código]]="","",IFERROR(INDEX(tbCategorias[Grupo],MATCH(tbLancamentos[[#This Row],[Código]],tbCategorias[Código],0)),"CÓDIGO INVÁLIDO"))</f>
        <v>Comunicação</v>
      </c>
      <c r="E148" s="22" t="str">
        <f>IF(tbLancamentos[[#This Row],[Código]]="","",IFERROR(INDEX(tbCategorias[Subcategoria],MATCH(tbLancamentos[[#This Row],[Código]],tbCategorias[Código],0)),"CÓDIGO INVÁLIDO"))</f>
        <v>Internet</v>
      </c>
      <c r="F148" s="23" t="s">
        <v>129</v>
      </c>
      <c r="G148" s="24">
        <v>89</v>
      </c>
      <c r="H148" s="23"/>
      <c r="I148" s="23"/>
      <c r="J148" s="23" t="s">
        <v>122</v>
      </c>
      <c r="K148" s="23" t="str">
        <f>IF(tbLancamentos[[#This Row],[Data]]="","",TEXT(tbLancamentos[[#This Row],[Mês]],"00")&amp;"-"&amp;CHOOSE(tbLancamentos[[#This Row],[Mês]],"JAN","FEV","MAR","ABR","MAI","JUN","JUL","AGO","SET","OUT","NOV","DEZ"))</f>
        <v>09-SET</v>
      </c>
    </row>
    <row r="149" spans="1:11" x14ac:dyDescent="0.3">
      <c r="A149" s="21">
        <v>45901</v>
      </c>
      <c r="B149" s="22">
        <f>IF(tbLancamentos[[#This Row],[Data]]="","",MONTH(tbLancamentos[[#This Row],[Data]]))</f>
        <v>9</v>
      </c>
      <c r="C149" s="23">
        <v>17</v>
      </c>
      <c r="D149" s="22" t="str">
        <f>IF(tbLancamentos[[#This Row],[Código]]="","",IFERROR(INDEX(tbCategorias[Grupo],MATCH(tbLancamentos[[#This Row],[Código]],tbCategorias[Código],0)),"CÓDIGO INVÁLIDO"))</f>
        <v>Comunicação</v>
      </c>
      <c r="E149" s="22" t="str">
        <f>IF(tbLancamentos[[#This Row],[Código]]="","",IFERROR(INDEX(tbCategorias[Subcategoria],MATCH(tbLancamentos[[#This Row],[Código]],tbCategorias[Código],0)),"CÓDIGO INVÁLIDO"))</f>
        <v>Streaming (outros)</v>
      </c>
      <c r="F149" s="23" t="s">
        <v>130</v>
      </c>
      <c r="G149" s="24">
        <v>24</v>
      </c>
      <c r="H149" s="23"/>
      <c r="I149" s="23"/>
      <c r="J149" s="23" t="s">
        <v>122</v>
      </c>
      <c r="K149" s="23" t="str">
        <f>IF(tbLancamentos[[#This Row],[Data]]="","",TEXT(tbLancamentos[[#This Row],[Mês]],"00")&amp;"-"&amp;CHOOSE(tbLancamentos[[#This Row],[Mês]],"JAN","FEV","MAR","ABR","MAI","JUN","JUL","AGO","SET","OUT","NOV","DEZ"))</f>
        <v>09-SET</v>
      </c>
    </row>
    <row r="150" spans="1:11" x14ac:dyDescent="0.3">
      <c r="A150" s="21">
        <v>45901</v>
      </c>
      <c r="B150" s="22">
        <f>IF(tbLancamentos[[#This Row],[Data]]="","",MONTH(tbLancamentos[[#This Row],[Data]]))</f>
        <v>9</v>
      </c>
      <c r="C150" s="23">
        <v>18</v>
      </c>
      <c r="D150" s="22" t="str">
        <f>IF(tbLancamentos[[#This Row],[Código]]="","",IFERROR(INDEX(tbCategorias[Grupo],MATCH(tbLancamentos[[#This Row],[Código]],tbCategorias[Código],0)),"CÓDIGO INVÁLIDO"))</f>
        <v>Comunicação</v>
      </c>
      <c r="E150" s="22" t="str">
        <f>IF(tbLancamentos[[#This Row],[Código]]="","",IFERROR(INDEX(tbCategorias[Subcategoria],MATCH(tbLancamentos[[#This Row],[Código]],tbCategorias[Código],0)),"CÓDIGO INVÁLIDO"))</f>
        <v>Netflix</v>
      </c>
      <c r="F150" s="23" t="s">
        <v>131</v>
      </c>
      <c r="G150" s="24">
        <v>22</v>
      </c>
      <c r="H150" s="23"/>
      <c r="I150" s="23"/>
      <c r="J150" s="23" t="s">
        <v>122</v>
      </c>
      <c r="K150" s="23" t="str">
        <f>IF(tbLancamentos[[#This Row],[Data]]="","",TEXT(tbLancamentos[[#This Row],[Mês]],"00")&amp;"-"&amp;CHOOSE(tbLancamentos[[#This Row],[Mês]],"JAN","FEV","MAR","ABR","MAI","JUN","JUL","AGO","SET","OUT","NOV","DEZ"))</f>
        <v>09-SET</v>
      </c>
    </row>
    <row r="151" spans="1:11" x14ac:dyDescent="0.3">
      <c r="A151" s="21">
        <v>45901</v>
      </c>
      <c r="B151" s="22">
        <f>IF(tbLancamentos[[#This Row],[Data]]="","",MONTH(tbLancamentos[[#This Row],[Data]]))</f>
        <v>9</v>
      </c>
      <c r="C151" s="23">
        <v>19</v>
      </c>
      <c r="D151" s="22" t="str">
        <f>IF(tbLancamentos[[#This Row],[Código]]="","",IFERROR(INDEX(tbCategorias[Grupo],MATCH(tbLancamentos[[#This Row],[Código]],tbCategorias[Código],0)),"CÓDIGO INVÁLIDO"))</f>
        <v>Comunicação</v>
      </c>
      <c r="E151" s="22" t="str">
        <f>IF(tbLancamentos[[#This Row],[Código]]="","",IFERROR(INDEX(tbCategorias[Subcategoria],MATCH(tbLancamentos[[#This Row],[Código]],tbCategorias[Código],0)),"CÓDIGO INVÁLIDO"))</f>
        <v>Amazon Prime</v>
      </c>
      <c r="F151" s="23" t="s">
        <v>132</v>
      </c>
      <c r="G151" s="24">
        <v>11</v>
      </c>
      <c r="H151" s="23"/>
      <c r="I151" s="23"/>
      <c r="J151" s="23" t="s">
        <v>122</v>
      </c>
      <c r="K151" s="23" t="str">
        <f>IF(tbLancamentos[[#This Row],[Data]]="","",TEXT(tbLancamentos[[#This Row],[Mês]],"00")&amp;"-"&amp;CHOOSE(tbLancamentos[[#This Row],[Mês]],"JAN","FEV","MAR","ABR","MAI","JUN","JUL","AGO","SET","OUT","NOV","DEZ"))</f>
        <v>09-SET</v>
      </c>
    </row>
    <row r="152" spans="1:11" x14ac:dyDescent="0.3">
      <c r="A152" s="21">
        <v>45901</v>
      </c>
      <c r="B152" s="22">
        <f>IF(tbLancamentos[[#This Row],[Data]]="","",MONTH(tbLancamentos[[#This Row],[Data]]))</f>
        <v>9</v>
      </c>
      <c r="C152" s="23">
        <v>20</v>
      </c>
      <c r="D152" s="22" t="str">
        <f>IF(tbLancamentos[[#This Row],[Código]]="","",IFERROR(INDEX(tbCategorias[Grupo],MATCH(tbLancamentos[[#This Row],[Código]],tbCategorias[Código],0)),"CÓDIGO INVÁLIDO"))</f>
        <v>Comunicação</v>
      </c>
      <c r="E152" s="22" t="str">
        <f>IF(tbLancamentos[[#This Row],[Código]]="","",IFERROR(INDEX(tbCategorias[Subcategoria],MATCH(tbLancamentos[[#This Row],[Código]],tbCategorias[Código],0)),"CÓDIGO INVÁLIDO"))</f>
        <v>Max</v>
      </c>
      <c r="F152" s="23" t="s">
        <v>133</v>
      </c>
      <c r="G152" s="24">
        <v>45</v>
      </c>
      <c r="H152" s="23"/>
      <c r="I152" s="23"/>
      <c r="J152" s="23" t="s">
        <v>122</v>
      </c>
      <c r="K152" s="23" t="str">
        <f>IF(tbLancamentos[[#This Row],[Data]]="","",TEXT(tbLancamentos[[#This Row],[Mês]],"00")&amp;"-"&amp;CHOOSE(tbLancamentos[[#This Row],[Mês]],"JAN","FEV","MAR","ABR","MAI","JUN","JUL","AGO","SET","OUT","NOV","DEZ"))</f>
        <v>09-SET</v>
      </c>
    </row>
    <row r="153" spans="1:11" x14ac:dyDescent="0.3">
      <c r="A153" s="21">
        <v>45901</v>
      </c>
      <c r="B153" s="22">
        <f>IF(tbLancamentos[[#This Row],[Data]]="","",MONTH(tbLancamentos[[#This Row],[Data]]))</f>
        <v>9</v>
      </c>
      <c r="C153" s="23">
        <v>40</v>
      </c>
      <c r="D153" s="22" t="str">
        <f>IF(tbLancamentos[[#This Row],[Código]]="","",IFERROR(INDEX(tbCategorias[Grupo],MATCH(tbLancamentos[[#This Row],[Código]],tbCategorias[Código],0)),"CÓDIGO INVÁLIDO"))</f>
        <v>Transporte</v>
      </c>
      <c r="E153" s="22" t="str">
        <f>IF(tbLancamentos[[#This Row],[Código]]="","",IFERROR(INDEX(tbCategorias[Subcategoria],MATCH(tbLancamentos[[#This Row],[Código]],tbCategorias[Código],0)),"CÓDIGO INVÁLIDO"))</f>
        <v>Aplicativos (Uber / 99)</v>
      </c>
      <c r="F153" s="23" t="s">
        <v>134</v>
      </c>
      <c r="G153" s="24">
        <v>45</v>
      </c>
      <c r="H153" s="23"/>
      <c r="I153" s="23"/>
      <c r="J153" s="23" t="s">
        <v>122</v>
      </c>
      <c r="K153" s="23" t="str">
        <f>IF(tbLancamentos[[#This Row],[Data]]="","",TEXT(tbLancamentos[[#This Row],[Mês]],"00")&amp;"-"&amp;CHOOSE(tbLancamentos[[#This Row],[Mês]],"JAN","FEV","MAR","ABR","MAI","JUN","JUL","AGO","SET","OUT","NOV","DEZ"))</f>
        <v>09-SET</v>
      </c>
    </row>
    <row r="154" spans="1:11" x14ac:dyDescent="0.3">
      <c r="A154" s="21">
        <v>45901</v>
      </c>
      <c r="B154" s="22">
        <f>IF(tbLancamentos[[#This Row],[Data]]="","",MONTH(tbLancamentos[[#This Row],[Data]]))</f>
        <v>9</v>
      </c>
      <c r="C154" s="23">
        <v>43</v>
      </c>
      <c r="D154" s="22" t="str">
        <f>IF(tbLancamentos[[#This Row],[Código]]="","",IFERROR(INDEX(tbCategorias[Grupo],MATCH(tbLancamentos[[#This Row],[Código]],tbCategorias[Código],0)),"CÓDIGO INVÁLIDO"))</f>
        <v>Transporte</v>
      </c>
      <c r="E154" s="22" t="str">
        <f>IF(tbLancamentos[[#This Row],[Código]]="","",IFERROR(INDEX(tbCategorias[Subcategoria],MATCH(tbLancamentos[[#This Row],[Código]],tbCategorias[Código],0)),"CÓDIGO INVÁLIDO"))</f>
        <v>Transporte Trabalho (Jhenis)</v>
      </c>
      <c r="F154" s="23" t="s">
        <v>135</v>
      </c>
      <c r="G154" s="24">
        <v>143</v>
      </c>
      <c r="H154" s="23"/>
      <c r="I154" s="23"/>
      <c r="J154" s="23" t="s">
        <v>122</v>
      </c>
      <c r="K154" s="23" t="str">
        <f>IF(tbLancamentos[[#This Row],[Data]]="","",TEXT(tbLancamentos[[#This Row],[Mês]],"00")&amp;"-"&amp;CHOOSE(tbLancamentos[[#This Row],[Mês]],"JAN","FEV","MAR","ABR","MAI","JUN","JUL","AGO","SET","OUT","NOV","DEZ"))</f>
        <v>09-SET</v>
      </c>
    </row>
    <row r="155" spans="1:11" x14ac:dyDescent="0.3">
      <c r="A155" s="21">
        <v>45901</v>
      </c>
      <c r="B155" s="22">
        <f>IF(tbLancamentos[[#This Row],[Data]]="","",MONTH(tbLancamentos[[#This Row],[Data]]))</f>
        <v>9</v>
      </c>
      <c r="C155" s="23">
        <v>44</v>
      </c>
      <c r="D155" s="22" t="str">
        <f>IF(tbLancamentos[[#This Row],[Código]]="","",IFERROR(INDEX(tbCategorias[Grupo],MATCH(tbLancamentos[[#This Row],[Código]],tbCategorias[Código],0)),"CÓDIGO INVÁLIDO"))</f>
        <v>Transporte</v>
      </c>
      <c r="E155" s="22" t="str">
        <f>IF(tbLancamentos[[#This Row],[Código]]="","",IFERROR(INDEX(tbCategorias[Subcategoria],MATCH(tbLancamentos[[#This Row],[Código]],tbCategorias[Código],0)),"CÓDIGO INVÁLIDO"))</f>
        <v>Transporte Trabalho (Matheus)</v>
      </c>
      <c r="F155" s="23" t="s">
        <v>136</v>
      </c>
      <c r="G155" s="24">
        <v>240</v>
      </c>
      <c r="H155" s="23"/>
      <c r="I155" s="23"/>
      <c r="J155" s="23" t="s">
        <v>122</v>
      </c>
      <c r="K155" s="23" t="str">
        <f>IF(tbLancamentos[[#This Row],[Data]]="","",TEXT(tbLancamentos[[#This Row],[Mês]],"00")&amp;"-"&amp;CHOOSE(tbLancamentos[[#This Row],[Mês]],"JAN","FEV","MAR","ABR","MAI","JUN","JUL","AGO","SET","OUT","NOV","DEZ"))</f>
        <v>09-SET</v>
      </c>
    </row>
    <row r="156" spans="1:11" x14ac:dyDescent="0.3">
      <c r="A156" s="21">
        <v>45901</v>
      </c>
      <c r="B156" s="22">
        <f>IF(tbLancamentos[[#This Row],[Data]]="","",MONTH(tbLancamentos[[#This Row],[Data]]))</f>
        <v>9</v>
      </c>
      <c r="C156" s="23">
        <v>4</v>
      </c>
      <c r="D156" s="22" t="str">
        <f>IF(tbLancamentos[[#This Row],[Código]]="","",IFERROR(INDEX(tbCategorias[Grupo],MATCH(tbLancamentos[[#This Row],[Código]],tbCategorias[Código],0)),"CÓDIGO INVÁLIDO"))</f>
        <v>Cartões e Dívidas</v>
      </c>
      <c r="E156" s="22" t="str">
        <f>IF(tbLancamentos[[#This Row],[Código]]="","",IFERROR(INDEX(tbCategorias[Subcategoria],MATCH(tbLancamentos[[#This Row],[Código]],tbCategorias[Código],0)),"CÓDIGO INVÁLIDO"))</f>
        <v>Cartão Jhenismara</v>
      </c>
      <c r="F156" s="23" t="s">
        <v>137</v>
      </c>
      <c r="G156" s="24">
        <v>1400</v>
      </c>
      <c r="H156" s="23"/>
      <c r="I156" s="23"/>
      <c r="J156" s="23" t="s">
        <v>122</v>
      </c>
      <c r="K156" s="23" t="str">
        <f>IF(tbLancamentos[[#This Row],[Data]]="","",TEXT(tbLancamentos[[#This Row],[Mês]],"00")&amp;"-"&amp;CHOOSE(tbLancamentos[[#This Row],[Mês]],"JAN","FEV","MAR","ABR","MAI","JUN","JUL","AGO","SET","OUT","NOV","DEZ"))</f>
        <v>09-SET</v>
      </c>
    </row>
    <row r="157" spans="1:11" x14ac:dyDescent="0.3">
      <c r="A157" s="21">
        <v>45901</v>
      </c>
      <c r="B157" s="22">
        <f>IF(tbLancamentos[[#This Row],[Data]]="","",MONTH(tbLancamentos[[#This Row],[Data]]))</f>
        <v>9</v>
      </c>
      <c r="C157" s="23">
        <v>9</v>
      </c>
      <c r="D157" s="22" t="str">
        <f>IF(tbLancamentos[[#This Row],[Código]]="","",IFERROR(INDEX(tbCategorias[Grupo],MATCH(tbLancamentos[[#This Row],[Código]],tbCategorias[Código],0)),"CÓDIGO INVÁLIDO"))</f>
        <v>Cartões e Dívidas</v>
      </c>
      <c r="E157" s="22" t="str">
        <f>IF(tbLancamentos[[#This Row],[Código]]="","",IFERROR(INDEX(tbCategorias[Subcategoria],MATCH(tbLancamentos[[#This Row],[Código]],tbCategorias[Código],0)),"CÓDIGO INVÁLIDO"))</f>
        <v>Cartão Matheus</v>
      </c>
      <c r="F157" s="23" t="s">
        <v>138</v>
      </c>
      <c r="G157" s="24">
        <v>175</v>
      </c>
      <c r="H157" s="23"/>
      <c r="I157" s="23"/>
      <c r="J157" s="23" t="s">
        <v>122</v>
      </c>
      <c r="K157" s="23" t="str">
        <f>IF(tbLancamentos[[#This Row],[Data]]="","",TEXT(tbLancamentos[[#This Row],[Mês]],"00")&amp;"-"&amp;CHOOSE(tbLancamentos[[#This Row],[Mês]],"JAN","FEV","MAR","ABR","MAI","JUN","JUL","AGO","SET","OUT","NOV","DEZ"))</f>
        <v>09-SET</v>
      </c>
    </row>
    <row r="158" spans="1:11" x14ac:dyDescent="0.3">
      <c r="A158" s="21">
        <v>45931</v>
      </c>
      <c r="B158" s="22">
        <f>IF(tbLancamentos[[#This Row],[Data]]="","",MONTH(tbLancamentos[[#This Row],[Data]]))</f>
        <v>10</v>
      </c>
      <c r="C158" s="23">
        <v>6</v>
      </c>
      <c r="D158" s="22" t="str">
        <f>IF(tbLancamentos[[#This Row],[Código]]="","",IFERROR(INDEX(tbCategorias[Grupo],MATCH(tbLancamentos[[#This Row],[Código]],tbCategorias[Código],0)),"CÓDIGO INVÁLIDO"))</f>
        <v>Moradia</v>
      </c>
      <c r="E158" s="22" t="str">
        <f>IF(tbLancamentos[[#This Row],[Código]]="","",IFERROR(INDEX(tbCategorias[Subcategoria],MATCH(tbLancamentos[[#This Row],[Código]],tbCategorias[Código],0)),"CÓDIGO INVÁLIDO"))</f>
        <v>Energia</v>
      </c>
      <c r="F158" s="23" t="s">
        <v>121</v>
      </c>
      <c r="G158" s="24">
        <v>150</v>
      </c>
      <c r="H158" s="23"/>
      <c r="I158" s="23"/>
      <c r="J158" s="23" t="s">
        <v>122</v>
      </c>
      <c r="K158" s="23" t="str">
        <f>IF(tbLancamentos[[#This Row],[Data]]="","",TEXT(tbLancamentos[[#This Row],[Mês]],"00")&amp;"-"&amp;CHOOSE(tbLancamentos[[#This Row],[Mês]],"JAN","FEV","MAR","ABR","MAI","JUN","JUL","AGO","SET","OUT","NOV","DEZ"))</f>
        <v>10-OUT</v>
      </c>
    </row>
    <row r="159" spans="1:11" x14ac:dyDescent="0.3">
      <c r="A159" s="21">
        <v>45931</v>
      </c>
      <c r="B159" s="22">
        <f>IF(tbLancamentos[[#This Row],[Data]]="","",MONTH(tbLancamentos[[#This Row],[Data]]))</f>
        <v>10</v>
      </c>
      <c r="C159" s="23">
        <v>7</v>
      </c>
      <c r="D159" s="22" t="str">
        <f>IF(tbLancamentos[[#This Row],[Código]]="","",IFERROR(INDEX(tbCategorias[Grupo],MATCH(tbLancamentos[[#This Row],[Código]],tbCategorias[Código],0)),"CÓDIGO INVÁLIDO"))</f>
        <v>Moradia</v>
      </c>
      <c r="E159" s="22" t="str">
        <f>IF(tbLancamentos[[#This Row],[Código]]="","",IFERROR(INDEX(tbCategorias[Subcategoria],MATCH(tbLancamentos[[#This Row],[Código]],tbCategorias[Código],0)),"CÓDIGO INVÁLIDO"))</f>
        <v>Água</v>
      </c>
      <c r="F159" s="23" t="s">
        <v>123</v>
      </c>
      <c r="G159" s="24">
        <v>77</v>
      </c>
      <c r="H159" s="23"/>
      <c r="I159" s="23"/>
      <c r="J159" s="23" t="s">
        <v>122</v>
      </c>
      <c r="K159" s="23" t="str">
        <f>IF(tbLancamentos[[#This Row],[Data]]="","",TEXT(tbLancamentos[[#This Row],[Mês]],"00")&amp;"-"&amp;CHOOSE(tbLancamentos[[#This Row],[Mês]],"JAN","FEV","MAR","ABR","MAI","JUN","JUL","AGO","SET","OUT","NOV","DEZ"))</f>
        <v>10-OUT</v>
      </c>
    </row>
    <row r="160" spans="1:11" x14ac:dyDescent="0.3">
      <c r="A160" s="21">
        <v>45931</v>
      </c>
      <c r="B160" s="22">
        <f>IF(tbLancamentos[[#This Row],[Data]]="","",MONTH(tbLancamentos[[#This Row],[Data]]))</f>
        <v>10</v>
      </c>
      <c r="C160" s="23">
        <v>8</v>
      </c>
      <c r="D160" s="22" t="str">
        <f>IF(tbLancamentos[[#This Row],[Código]]="","",IFERROR(INDEX(tbCategorias[Grupo],MATCH(tbLancamentos[[#This Row],[Código]],tbCategorias[Código],0)),"CÓDIGO INVÁLIDO"))</f>
        <v>Moradia</v>
      </c>
      <c r="E160" s="22" t="str">
        <f>IF(tbLancamentos[[#This Row],[Código]]="","",IFERROR(INDEX(tbCategorias[Subcategoria],MATCH(tbLancamentos[[#This Row],[Código]],tbCategorias[Código],0)),"CÓDIGO INVÁLIDO"))</f>
        <v>Gás</v>
      </c>
      <c r="F160" s="23" t="s">
        <v>124</v>
      </c>
      <c r="G160" s="24">
        <v>55</v>
      </c>
      <c r="H160" s="23"/>
      <c r="I160" s="23"/>
      <c r="J160" s="23" t="s">
        <v>122</v>
      </c>
      <c r="K160" s="23" t="str">
        <f>IF(tbLancamentos[[#This Row],[Data]]="","",TEXT(tbLancamentos[[#This Row],[Mês]],"00")&amp;"-"&amp;CHOOSE(tbLancamentos[[#This Row],[Mês]],"JAN","FEV","MAR","ABR","MAI","JUN","JUL","AGO","SET","OUT","NOV","DEZ"))</f>
        <v>10-OUT</v>
      </c>
    </row>
    <row r="161" spans="1:11" x14ac:dyDescent="0.3">
      <c r="A161" s="21">
        <v>45931</v>
      </c>
      <c r="B161" s="22">
        <f>IF(tbLancamentos[[#This Row],[Data]]="","",MONTH(tbLancamentos[[#This Row],[Data]]))</f>
        <v>10</v>
      </c>
      <c r="C161" s="23">
        <v>11</v>
      </c>
      <c r="D161" s="22" t="str">
        <f>IF(tbLancamentos[[#This Row],[Código]]="","",IFERROR(INDEX(tbCategorias[Grupo],MATCH(tbLancamentos[[#This Row],[Código]],tbCategorias[Código],0)),"CÓDIGO INVÁLIDO"))</f>
        <v>Alimentação</v>
      </c>
      <c r="E161" s="22" t="str">
        <f>IF(tbLancamentos[[#This Row],[Código]]="","",IFERROR(INDEX(tbCategorias[Subcategoria],MATCH(tbLancamentos[[#This Row],[Código]],tbCategorias[Código],0)),"CÓDIGO INVÁLIDO"))</f>
        <v>Supermercado</v>
      </c>
      <c r="F161" s="23" t="s">
        <v>125</v>
      </c>
      <c r="G161" s="24">
        <v>450</v>
      </c>
      <c r="H161" s="23"/>
      <c r="I161" s="23"/>
      <c r="J161" s="23" t="s">
        <v>122</v>
      </c>
      <c r="K161" s="23" t="str">
        <f>IF(tbLancamentos[[#This Row],[Data]]="","",TEXT(tbLancamentos[[#This Row],[Mês]],"00")&amp;"-"&amp;CHOOSE(tbLancamentos[[#This Row],[Mês]],"JAN","FEV","MAR","ABR","MAI","JUN","JUL","AGO","SET","OUT","NOV","DEZ"))</f>
        <v>10-OUT</v>
      </c>
    </row>
    <row r="162" spans="1:11" x14ac:dyDescent="0.3">
      <c r="A162" s="21">
        <v>45931</v>
      </c>
      <c r="B162" s="22">
        <f>IF(tbLancamentos[[#This Row],[Data]]="","",MONTH(tbLancamentos[[#This Row],[Data]]))</f>
        <v>10</v>
      </c>
      <c r="C162" s="23">
        <v>12</v>
      </c>
      <c r="D162" s="22" t="str">
        <f>IF(tbLancamentos[[#This Row],[Código]]="","",IFERROR(INDEX(tbCategorias[Grupo],MATCH(tbLancamentos[[#This Row],[Código]],tbCategorias[Código],0)),"CÓDIGO INVÁLIDO"))</f>
        <v>Alimentação</v>
      </c>
      <c r="E162" s="22" t="str">
        <f>IF(tbLancamentos[[#This Row],[Código]]="","",IFERROR(INDEX(tbCategorias[Subcategoria],MATCH(tbLancamentos[[#This Row],[Código]],tbCategorias[Código],0)),"CÓDIGO INVÁLIDO"))</f>
        <v>Restaurante</v>
      </c>
      <c r="F162" s="23" t="s">
        <v>126</v>
      </c>
      <c r="G162" s="24">
        <v>140</v>
      </c>
      <c r="H162" s="23"/>
      <c r="I162" s="23"/>
      <c r="J162" s="23" t="s">
        <v>122</v>
      </c>
      <c r="K162" s="23" t="str">
        <f>IF(tbLancamentos[[#This Row],[Data]]="","",TEXT(tbLancamentos[[#This Row],[Mês]],"00")&amp;"-"&amp;CHOOSE(tbLancamentos[[#This Row],[Mês]],"JAN","FEV","MAR","ABR","MAI","JUN","JUL","AGO","SET","OUT","NOV","DEZ"))</f>
        <v>10-OUT</v>
      </c>
    </row>
    <row r="163" spans="1:11" x14ac:dyDescent="0.3">
      <c r="A163" s="21">
        <v>45931</v>
      </c>
      <c r="B163" s="22">
        <f>IF(tbLancamentos[[#This Row],[Data]]="","",MONTH(tbLancamentos[[#This Row],[Data]]))</f>
        <v>10</v>
      </c>
      <c r="C163" s="23">
        <v>13</v>
      </c>
      <c r="D163" s="22" t="str">
        <f>IF(tbLancamentos[[#This Row],[Código]]="","",IFERROR(INDEX(tbCategorias[Grupo],MATCH(tbLancamentos[[#This Row],[Código]],tbCategorias[Código],0)),"CÓDIGO INVÁLIDO"))</f>
        <v>Alimentação</v>
      </c>
      <c r="E163" s="22" t="str">
        <f>IF(tbLancamentos[[#This Row],[Código]]="","",IFERROR(INDEX(tbCategorias[Subcategoria],MATCH(tbLancamentos[[#This Row],[Código]],tbCategorias[Código],0)),"CÓDIGO INVÁLIDO"))</f>
        <v>Café / Almoço</v>
      </c>
      <c r="F163" s="23" t="s">
        <v>127</v>
      </c>
      <c r="G163" s="24">
        <v>250</v>
      </c>
      <c r="H163" s="23"/>
      <c r="I163" s="23"/>
      <c r="J163" s="23" t="s">
        <v>122</v>
      </c>
      <c r="K163" s="23" t="str">
        <f>IF(tbLancamentos[[#This Row],[Data]]="","",TEXT(tbLancamentos[[#This Row],[Mês]],"00")&amp;"-"&amp;CHOOSE(tbLancamentos[[#This Row],[Mês]],"JAN","FEV","MAR","ABR","MAI","JUN","JUL","AGO","SET","OUT","NOV","DEZ"))</f>
        <v>10-OUT</v>
      </c>
    </row>
    <row r="164" spans="1:11" x14ac:dyDescent="0.3">
      <c r="A164" s="21">
        <v>45931</v>
      </c>
      <c r="B164" s="22">
        <f>IF(tbLancamentos[[#This Row],[Data]]="","",MONTH(tbLancamentos[[#This Row],[Data]]))</f>
        <v>10</v>
      </c>
      <c r="C164" s="23">
        <v>15</v>
      </c>
      <c r="D164" s="22" t="str">
        <f>IF(tbLancamentos[[#This Row],[Código]]="","",IFERROR(INDEX(tbCategorias[Grupo],MATCH(tbLancamentos[[#This Row],[Código]],tbCategorias[Código],0)),"CÓDIGO INVÁLIDO"))</f>
        <v>Comunicação</v>
      </c>
      <c r="E164" s="22" t="str">
        <f>IF(tbLancamentos[[#This Row],[Código]]="","",IFERROR(INDEX(tbCategorias[Subcategoria],MATCH(tbLancamentos[[#This Row],[Código]],tbCategorias[Código],0)),"CÓDIGO INVÁLIDO"))</f>
        <v>Celular</v>
      </c>
      <c r="F164" s="23" t="s">
        <v>128</v>
      </c>
      <c r="G164" s="24">
        <v>45</v>
      </c>
      <c r="H164" s="23"/>
      <c r="I164" s="23"/>
      <c r="J164" s="23" t="s">
        <v>122</v>
      </c>
      <c r="K164" s="23" t="str">
        <f>IF(tbLancamentos[[#This Row],[Data]]="","",TEXT(tbLancamentos[[#This Row],[Mês]],"00")&amp;"-"&amp;CHOOSE(tbLancamentos[[#This Row],[Mês]],"JAN","FEV","MAR","ABR","MAI","JUN","JUL","AGO","SET","OUT","NOV","DEZ"))</f>
        <v>10-OUT</v>
      </c>
    </row>
    <row r="165" spans="1:11" x14ac:dyDescent="0.3">
      <c r="A165" s="21">
        <v>45931</v>
      </c>
      <c r="B165" s="22">
        <f>IF(tbLancamentos[[#This Row],[Data]]="","",MONTH(tbLancamentos[[#This Row],[Data]]))</f>
        <v>10</v>
      </c>
      <c r="C165" s="23">
        <v>16</v>
      </c>
      <c r="D165" s="22" t="str">
        <f>IF(tbLancamentos[[#This Row],[Código]]="","",IFERROR(INDEX(tbCategorias[Grupo],MATCH(tbLancamentos[[#This Row],[Código]],tbCategorias[Código],0)),"CÓDIGO INVÁLIDO"))</f>
        <v>Comunicação</v>
      </c>
      <c r="E165" s="22" t="str">
        <f>IF(tbLancamentos[[#This Row],[Código]]="","",IFERROR(INDEX(tbCategorias[Subcategoria],MATCH(tbLancamentos[[#This Row],[Código]],tbCategorias[Código],0)),"CÓDIGO INVÁLIDO"))</f>
        <v>Internet</v>
      </c>
      <c r="F165" s="23" t="s">
        <v>129</v>
      </c>
      <c r="G165" s="24">
        <v>89</v>
      </c>
      <c r="H165" s="23"/>
      <c r="I165" s="23"/>
      <c r="J165" s="23" t="s">
        <v>122</v>
      </c>
      <c r="K165" s="23" t="str">
        <f>IF(tbLancamentos[[#This Row],[Data]]="","",TEXT(tbLancamentos[[#This Row],[Mês]],"00")&amp;"-"&amp;CHOOSE(tbLancamentos[[#This Row],[Mês]],"JAN","FEV","MAR","ABR","MAI","JUN","JUL","AGO","SET","OUT","NOV","DEZ"))</f>
        <v>10-OUT</v>
      </c>
    </row>
    <row r="166" spans="1:11" x14ac:dyDescent="0.3">
      <c r="A166" s="21">
        <v>45931</v>
      </c>
      <c r="B166" s="22">
        <f>IF(tbLancamentos[[#This Row],[Data]]="","",MONTH(tbLancamentos[[#This Row],[Data]]))</f>
        <v>10</v>
      </c>
      <c r="C166" s="23">
        <v>17</v>
      </c>
      <c r="D166" s="22" t="str">
        <f>IF(tbLancamentos[[#This Row],[Código]]="","",IFERROR(INDEX(tbCategorias[Grupo],MATCH(tbLancamentos[[#This Row],[Código]],tbCategorias[Código],0)),"CÓDIGO INVÁLIDO"))</f>
        <v>Comunicação</v>
      </c>
      <c r="E166" s="22" t="str">
        <f>IF(tbLancamentos[[#This Row],[Código]]="","",IFERROR(INDEX(tbCategorias[Subcategoria],MATCH(tbLancamentos[[#This Row],[Código]],tbCategorias[Código],0)),"CÓDIGO INVÁLIDO"))</f>
        <v>Streaming (outros)</v>
      </c>
      <c r="F166" s="23" t="s">
        <v>130</v>
      </c>
      <c r="G166" s="24">
        <v>24</v>
      </c>
      <c r="H166" s="23"/>
      <c r="I166" s="23"/>
      <c r="J166" s="23" t="s">
        <v>122</v>
      </c>
      <c r="K166" s="23" t="str">
        <f>IF(tbLancamentos[[#This Row],[Data]]="","",TEXT(tbLancamentos[[#This Row],[Mês]],"00")&amp;"-"&amp;CHOOSE(tbLancamentos[[#This Row],[Mês]],"JAN","FEV","MAR","ABR","MAI","JUN","JUL","AGO","SET","OUT","NOV","DEZ"))</f>
        <v>10-OUT</v>
      </c>
    </row>
    <row r="167" spans="1:11" x14ac:dyDescent="0.3">
      <c r="A167" s="21">
        <v>45931</v>
      </c>
      <c r="B167" s="22">
        <f>IF(tbLancamentos[[#This Row],[Data]]="","",MONTH(tbLancamentos[[#This Row],[Data]]))</f>
        <v>10</v>
      </c>
      <c r="C167" s="23">
        <v>18</v>
      </c>
      <c r="D167" s="22" t="str">
        <f>IF(tbLancamentos[[#This Row],[Código]]="","",IFERROR(INDEX(tbCategorias[Grupo],MATCH(tbLancamentos[[#This Row],[Código]],tbCategorias[Código],0)),"CÓDIGO INVÁLIDO"))</f>
        <v>Comunicação</v>
      </c>
      <c r="E167" s="22" t="str">
        <f>IF(tbLancamentos[[#This Row],[Código]]="","",IFERROR(INDEX(tbCategorias[Subcategoria],MATCH(tbLancamentos[[#This Row],[Código]],tbCategorias[Código],0)),"CÓDIGO INVÁLIDO"))</f>
        <v>Netflix</v>
      </c>
      <c r="F167" s="23" t="s">
        <v>131</v>
      </c>
      <c r="G167" s="24">
        <v>22</v>
      </c>
      <c r="H167" s="23"/>
      <c r="I167" s="23"/>
      <c r="J167" s="23" t="s">
        <v>122</v>
      </c>
      <c r="K167" s="23" t="str">
        <f>IF(tbLancamentos[[#This Row],[Data]]="","",TEXT(tbLancamentos[[#This Row],[Mês]],"00")&amp;"-"&amp;CHOOSE(tbLancamentos[[#This Row],[Mês]],"JAN","FEV","MAR","ABR","MAI","JUN","JUL","AGO","SET","OUT","NOV","DEZ"))</f>
        <v>10-OUT</v>
      </c>
    </row>
    <row r="168" spans="1:11" x14ac:dyDescent="0.3">
      <c r="A168" s="21">
        <v>45931</v>
      </c>
      <c r="B168" s="22">
        <f>IF(tbLancamentos[[#This Row],[Data]]="","",MONTH(tbLancamentos[[#This Row],[Data]]))</f>
        <v>10</v>
      </c>
      <c r="C168" s="23">
        <v>19</v>
      </c>
      <c r="D168" s="22" t="str">
        <f>IF(tbLancamentos[[#This Row],[Código]]="","",IFERROR(INDEX(tbCategorias[Grupo],MATCH(tbLancamentos[[#This Row],[Código]],tbCategorias[Código],0)),"CÓDIGO INVÁLIDO"))</f>
        <v>Comunicação</v>
      </c>
      <c r="E168" s="22" t="str">
        <f>IF(tbLancamentos[[#This Row],[Código]]="","",IFERROR(INDEX(tbCategorias[Subcategoria],MATCH(tbLancamentos[[#This Row],[Código]],tbCategorias[Código],0)),"CÓDIGO INVÁLIDO"))</f>
        <v>Amazon Prime</v>
      </c>
      <c r="F168" s="23" t="s">
        <v>132</v>
      </c>
      <c r="G168" s="24">
        <v>11</v>
      </c>
      <c r="H168" s="23"/>
      <c r="I168" s="23"/>
      <c r="J168" s="23" t="s">
        <v>122</v>
      </c>
      <c r="K168" s="23" t="str">
        <f>IF(tbLancamentos[[#This Row],[Data]]="","",TEXT(tbLancamentos[[#This Row],[Mês]],"00")&amp;"-"&amp;CHOOSE(tbLancamentos[[#This Row],[Mês]],"JAN","FEV","MAR","ABR","MAI","JUN","JUL","AGO","SET","OUT","NOV","DEZ"))</f>
        <v>10-OUT</v>
      </c>
    </row>
    <row r="169" spans="1:11" x14ac:dyDescent="0.3">
      <c r="A169" s="21">
        <v>45931</v>
      </c>
      <c r="B169" s="22">
        <f>IF(tbLancamentos[[#This Row],[Data]]="","",MONTH(tbLancamentos[[#This Row],[Data]]))</f>
        <v>10</v>
      </c>
      <c r="C169" s="23">
        <v>20</v>
      </c>
      <c r="D169" s="22" t="str">
        <f>IF(tbLancamentos[[#This Row],[Código]]="","",IFERROR(INDEX(tbCategorias[Grupo],MATCH(tbLancamentos[[#This Row],[Código]],tbCategorias[Código],0)),"CÓDIGO INVÁLIDO"))</f>
        <v>Comunicação</v>
      </c>
      <c r="E169" s="22" t="str">
        <f>IF(tbLancamentos[[#This Row],[Código]]="","",IFERROR(INDEX(tbCategorias[Subcategoria],MATCH(tbLancamentos[[#This Row],[Código]],tbCategorias[Código],0)),"CÓDIGO INVÁLIDO"))</f>
        <v>Max</v>
      </c>
      <c r="F169" s="23" t="s">
        <v>133</v>
      </c>
      <c r="G169" s="24">
        <v>45</v>
      </c>
      <c r="H169" s="23"/>
      <c r="I169" s="23"/>
      <c r="J169" s="23" t="s">
        <v>122</v>
      </c>
      <c r="K169" s="23" t="str">
        <f>IF(tbLancamentos[[#This Row],[Data]]="","",TEXT(tbLancamentos[[#This Row],[Mês]],"00")&amp;"-"&amp;CHOOSE(tbLancamentos[[#This Row],[Mês]],"JAN","FEV","MAR","ABR","MAI","JUN","JUL","AGO","SET","OUT","NOV","DEZ"))</f>
        <v>10-OUT</v>
      </c>
    </row>
    <row r="170" spans="1:11" x14ac:dyDescent="0.3">
      <c r="A170" s="21">
        <v>45931</v>
      </c>
      <c r="B170" s="22">
        <f>IF(tbLancamentos[[#This Row],[Data]]="","",MONTH(tbLancamentos[[#This Row],[Data]]))</f>
        <v>10</v>
      </c>
      <c r="C170" s="23">
        <v>40</v>
      </c>
      <c r="D170" s="22" t="str">
        <f>IF(tbLancamentos[[#This Row],[Código]]="","",IFERROR(INDEX(tbCategorias[Grupo],MATCH(tbLancamentos[[#This Row],[Código]],tbCategorias[Código],0)),"CÓDIGO INVÁLIDO"))</f>
        <v>Transporte</v>
      </c>
      <c r="E170" s="22" t="str">
        <f>IF(tbLancamentos[[#This Row],[Código]]="","",IFERROR(INDEX(tbCategorias[Subcategoria],MATCH(tbLancamentos[[#This Row],[Código]],tbCategorias[Código],0)),"CÓDIGO INVÁLIDO"))</f>
        <v>Aplicativos (Uber / 99)</v>
      </c>
      <c r="F170" s="23" t="s">
        <v>134</v>
      </c>
      <c r="G170" s="24">
        <v>45</v>
      </c>
      <c r="H170" s="23"/>
      <c r="I170" s="23"/>
      <c r="J170" s="23" t="s">
        <v>122</v>
      </c>
      <c r="K170" s="23" t="str">
        <f>IF(tbLancamentos[[#This Row],[Data]]="","",TEXT(tbLancamentos[[#This Row],[Mês]],"00")&amp;"-"&amp;CHOOSE(tbLancamentos[[#This Row],[Mês]],"JAN","FEV","MAR","ABR","MAI","JUN","JUL","AGO","SET","OUT","NOV","DEZ"))</f>
        <v>10-OUT</v>
      </c>
    </row>
    <row r="171" spans="1:11" x14ac:dyDescent="0.3">
      <c r="A171" s="21">
        <v>45931</v>
      </c>
      <c r="B171" s="22">
        <f>IF(tbLancamentos[[#This Row],[Data]]="","",MONTH(tbLancamentos[[#This Row],[Data]]))</f>
        <v>10</v>
      </c>
      <c r="C171" s="23">
        <v>43</v>
      </c>
      <c r="D171" s="22" t="str">
        <f>IF(tbLancamentos[[#This Row],[Código]]="","",IFERROR(INDEX(tbCategorias[Grupo],MATCH(tbLancamentos[[#This Row],[Código]],tbCategorias[Código],0)),"CÓDIGO INVÁLIDO"))</f>
        <v>Transporte</v>
      </c>
      <c r="E171" s="22" t="str">
        <f>IF(tbLancamentos[[#This Row],[Código]]="","",IFERROR(INDEX(tbCategorias[Subcategoria],MATCH(tbLancamentos[[#This Row],[Código]],tbCategorias[Código],0)),"CÓDIGO INVÁLIDO"))</f>
        <v>Transporte Trabalho (Jhenis)</v>
      </c>
      <c r="F171" s="23" t="s">
        <v>135</v>
      </c>
      <c r="G171" s="24">
        <v>143</v>
      </c>
      <c r="H171" s="23"/>
      <c r="I171" s="23"/>
      <c r="J171" s="23" t="s">
        <v>122</v>
      </c>
      <c r="K171" s="23" t="str">
        <f>IF(tbLancamentos[[#This Row],[Data]]="","",TEXT(tbLancamentos[[#This Row],[Mês]],"00")&amp;"-"&amp;CHOOSE(tbLancamentos[[#This Row],[Mês]],"JAN","FEV","MAR","ABR","MAI","JUN","JUL","AGO","SET","OUT","NOV","DEZ"))</f>
        <v>10-OUT</v>
      </c>
    </row>
    <row r="172" spans="1:11" x14ac:dyDescent="0.3">
      <c r="A172" s="21">
        <v>45931</v>
      </c>
      <c r="B172" s="22">
        <f>IF(tbLancamentos[[#This Row],[Data]]="","",MONTH(tbLancamentos[[#This Row],[Data]]))</f>
        <v>10</v>
      </c>
      <c r="C172" s="23">
        <v>44</v>
      </c>
      <c r="D172" s="22" t="str">
        <f>IF(tbLancamentos[[#This Row],[Código]]="","",IFERROR(INDEX(tbCategorias[Grupo],MATCH(tbLancamentos[[#This Row],[Código]],tbCategorias[Código],0)),"CÓDIGO INVÁLIDO"))</f>
        <v>Transporte</v>
      </c>
      <c r="E172" s="22" t="str">
        <f>IF(tbLancamentos[[#This Row],[Código]]="","",IFERROR(INDEX(tbCategorias[Subcategoria],MATCH(tbLancamentos[[#This Row],[Código]],tbCategorias[Código],0)),"CÓDIGO INVÁLIDO"))</f>
        <v>Transporte Trabalho (Matheus)</v>
      </c>
      <c r="F172" s="23" t="s">
        <v>136</v>
      </c>
      <c r="G172" s="24">
        <v>240</v>
      </c>
      <c r="H172" s="23"/>
      <c r="I172" s="23"/>
      <c r="J172" s="23" t="s">
        <v>122</v>
      </c>
      <c r="K172" s="23" t="str">
        <f>IF(tbLancamentos[[#This Row],[Data]]="","",TEXT(tbLancamentos[[#This Row],[Mês]],"00")&amp;"-"&amp;CHOOSE(tbLancamentos[[#This Row],[Mês]],"JAN","FEV","MAR","ABR","MAI","JUN","JUL","AGO","SET","OUT","NOV","DEZ"))</f>
        <v>10-OUT</v>
      </c>
    </row>
    <row r="173" spans="1:11" x14ac:dyDescent="0.3">
      <c r="A173" s="21">
        <v>45931</v>
      </c>
      <c r="B173" s="22">
        <f>IF(tbLancamentos[[#This Row],[Data]]="","",MONTH(tbLancamentos[[#This Row],[Data]]))</f>
        <v>10</v>
      </c>
      <c r="C173" s="23">
        <v>4</v>
      </c>
      <c r="D173" s="22" t="str">
        <f>IF(tbLancamentos[[#This Row],[Código]]="","",IFERROR(INDEX(tbCategorias[Grupo],MATCH(tbLancamentos[[#This Row],[Código]],tbCategorias[Código],0)),"CÓDIGO INVÁLIDO"))</f>
        <v>Cartões e Dívidas</v>
      </c>
      <c r="E173" s="22" t="str">
        <f>IF(tbLancamentos[[#This Row],[Código]]="","",IFERROR(INDEX(tbCategorias[Subcategoria],MATCH(tbLancamentos[[#This Row],[Código]],tbCategorias[Código],0)),"CÓDIGO INVÁLIDO"))</f>
        <v>Cartão Jhenismara</v>
      </c>
      <c r="F173" s="23" t="s">
        <v>137</v>
      </c>
      <c r="G173" s="24">
        <v>1400</v>
      </c>
      <c r="H173" s="23"/>
      <c r="I173" s="23"/>
      <c r="J173" s="23" t="s">
        <v>122</v>
      </c>
      <c r="K173" s="23" t="str">
        <f>IF(tbLancamentos[[#This Row],[Data]]="","",TEXT(tbLancamentos[[#This Row],[Mês]],"00")&amp;"-"&amp;CHOOSE(tbLancamentos[[#This Row],[Mês]],"JAN","FEV","MAR","ABR","MAI","JUN","JUL","AGO","SET","OUT","NOV","DEZ"))</f>
        <v>10-OUT</v>
      </c>
    </row>
    <row r="174" spans="1:11" x14ac:dyDescent="0.3">
      <c r="A174" s="21">
        <v>45931</v>
      </c>
      <c r="B174" s="22">
        <f>IF(tbLancamentos[[#This Row],[Data]]="","",MONTH(tbLancamentos[[#This Row],[Data]]))</f>
        <v>10</v>
      </c>
      <c r="C174" s="23">
        <v>9</v>
      </c>
      <c r="D174" s="22" t="str">
        <f>IF(tbLancamentos[[#This Row],[Código]]="","",IFERROR(INDEX(tbCategorias[Grupo],MATCH(tbLancamentos[[#This Row],[Código]],tbCategorias[Código],0)),"CÓDIGO INVÁLIDO"))</f>
        <v>Cartões e Dívidas</v>
      </c>
      <c r="E174" s="22" t="str">
        <f>IF(tbLancamentos[[#This Row],[Código]]="","",IFERROR(INDEX(tbCategorias[Subcategoria],MATCH(tbLancamentos[[#This Row],[Código]],tbCategorias[Código],0)),"CÓDIGO INVÁLIDO"))</f>
        <v>Cartão Matheus</v>
      </c>
      <c r="F174" s="23" t="s">
        <v>138</v>
      </c>
      <c r="G174" s="24">
        <v>175</v>
      </c>
      <c r="H174" s="23"/>
      <c r="I174" s="23"/>
      <c r="J174" s="23" t="s">
        <v>122</v>
      </c>
      <c r="K174" s="23" t="str">
        <f>IF(tbLancamentos[[#This Row],[Data]]="","",TEXT(tbLancamentos[[#This Row],[Mês]],"00")&amp;"-"&amp;CHOOSE(tbLancamentos[[#This Row],[Mês]],"JAN","FEV","MAR","ABR","MAI","JUN","JUL","AGO","SET","OUT","NOV","DEZ"))</f>
        <v>10-OUT</v>
      </c>
    </row>
    <row r="175" spans="1:11" x14ac:dyDescent="0.3">
      <c r="A175" s="21">
        <v>45962</v>
      </c>
      <c r="B175" s="22">
        <f>IF(tbLancamentos[[#This Row],[Data]]="","",MONTH(tbLancamentos[[#This Row],[Data]]))</f>
        <v>11</v>
      </c>
      <c r="C175" s="23">
        <v>6</v>
      </c>
      <c r="D175" s="22" t="str">
        <f>IF(tbLancamentos[[#This Row],[Código]]="","",IFERROR(INDEX(tbCategorias[Grupo],MATCH(tbLancamentos[[#This Row],[Código]],tbCategorias[Código],0)),"CÓDIGO INVÁLIDO"))</f>
        <v>Moradia</v>
      </c>
      <c r="E175" s="22" t="str">
        <f>IF(tbLancamentos[[#This Row],[Código]]="","",IFERROR(INDEX(tbCategorias[Subcategoria],MATCH(tbLancamentos[[#This Row],[Código]],tbCategorias[Código],0)),"CÓDIGO INVÁLIDO"))</f>
        <v>Energia</v>
      </c>
      <c r="F175" s="23" t="s">
        <v>121</v>
      </c>
      <c r="G175" s="24">
        <v>150</v>
      </c>
      <c r="H175" s="23"/>
      <c r="I175" s="23"/>
      <c r="J175" s="23" t="s">
        <v>122</v>
      </c>
      <c r="K175" s="23" t="str">
        <f>IF(tbLancamentos[[#This Row],[Data]]="","",TEXT(tbLancamentos[[#This Row],[Mês]],"00")&amp;"-"&amp;CHOOSE(tbLancamentos[[#This Row],[Mês]],"JAN","FEV","MAR","ABR","MAI","JUN","JUL","AGO","SET","OUT","NOV","DEZ"))</f>
        <v>11-NOV</v>
      </c>
    </row>
    <row r="176" spans="1:11" x14ac:dyDescent="0.3">
      <c r="A176" s="21">
        <v>45962</v>
      </c>
      <c r="B176" s="22">
        <f>IF(tbLancamentos[[#This Row],[Data]]="","",MONTH(tbLancamentos[[#This Row],[Data]]))</f>
        <v>11</v>
      </c>
      <c r="C176" s="23">
        <v>7</v>
      </c>
      <c r="D176" s="22" t="str">
        <f>IF(tbLancamentos[[#This Row],[Código]]="","",IFERROR(INDEX(tbCategorias[Grupo],MATCH(tbLancamentos[[#This Row],[Código]],tbCategorias[Código],0)),"CÓDIGO INVÁLIDO"))</f>
        <v>Moradia</v>
      </c>
      <c r="E176" s="22" t="str">
        <f>IF(tbLancamentos[[#This Row],[Código]]="","",IFERROR(INDEX(tbCategorias[Subcategoria],MATCH(tbLancamentos[[#This Row],[Código]],tbCategorias[Código],0)),"CÓDIGO INVÁLIDO"))</f>
        <v>Água</v>
      </c>
      <c r="F176" s="23" t="s">
        <v>123</v>
      </c>
      <c r="G176" s="24">
        <v>77</v>
      </c>
      <c r="H176" s="23"/>
      <c r="I176" s="23"/>
      <c r="J176" s="23" t="s">
        <v>122</v>
      </c>
      <c r="K176" s="23" t="str">
        <f>IF(tbLancamentos[[#This Row],[Data]]="","",TEXT(tbLancamentos[[#This Row],[Mês]],"00")&amp;"-"&amp;CHOOSE(tbLancamentos[[#This Row],[Mês]],"JAN","FEV","MAR","ABR","MAI","JUN","JUL","AGO","SET","OUT","NOV","DEZ"))</f>
        <v>11-NOV</v>
      </c>
    </row>
    <row r="177" spans="1:11" x14ac:dyDescent="0.3">
      <c r="A177" s="21">
        <v>45962</v>
      </c>
      <c r="B177" s="22">
        <f>IF(tbLancamentos[[#This Row],[Data]]="","",MONTH(tbLancamentos[[#This Row],[Data]]))</f>
        <v>11</v>
      </c>
      <c r="C177" s="23">
        <v>8</v>
      </c>
      <c r="D177" s="22" t="str">
        <f>IF(tbLancamentos[[#This Row],[Código]]="","",IFERROR(INDEX(tbCategorias[Grupo],MATCH(tbLancamentos[[#This Row],[Código]],tbCategorias[Código],0)),"CÓDIGO INVÁLIDO"))</f>
        <v>Moradia</v>
      </c>
      <c r="E177" s="22" t="str">
        <f>IF(tbLancamentos[[#This Row],[Código]]="","",IFERROR(INDEX(tbCategorias[Subcategoria],MATCH(tbLancamentos[[#This Row],[Código]],tbCategorias[Código],0)),"CÓDIGO INVÁLIDO"))</f>
        <v>Gás</v>
      </c>
      <c r="F177" s="23" t="s">
        <v>124</v>
      </c>
      <c r="G177" s="24">
        <v>55</v>
      </c>
      <c r="H177" s="23"/>
      <c r="I177" s="23"/>
      <c r="J177" s="23" t="s">
        <v>122</v>
      </c>
      <c r="K177" s="23" t="str">
        <f>IF(tbLancamentos[[#This Row],[Data]]="","",TEXT(tbLancamentos[[#This Row],[Mês]],"00")&amp;"-"&amp;CHOOSE(tbLancamentos[[#This Row],[Mês]],"JAN","FEV","MAR","ABR","MAI","JUN","JUL","AGO","SET","OUT","NOV","DEZ"))</f>
        <v>11-NOV</v>
      </c>
    </row>
    <row r="178" spans="1:11" x14ac:dyDescent="0.3">
      <c r="A178" s="21">
        <v>45962</v>
      </c>
      <c r="B178" s="22">
        <f>IF(tbLancamentos[[#This Row],[Data]]="","",MONTH(tbLancamentos[[#This Row],[Data]]))</f>
        <v>11</v>
      </c>
      <c r="C178" s="23">
        <v>11</v>
      </c>
      <c r="D178" s="22" t="str">
        <f>IF(tbLancamentos[[#This Row],[Código]]="","",IFERROR(INDEX(tbCategorias[Grupo],MATCH(tbLancamentos[[#This Row],[Código]],tbCategorias[Código],0)),"CÓDIGO INVÁLIDO"))</f>
        <v>Alimentação</v>
      </c>
      <c r="E178" s="22" t="str">
        <f>IF(tbLancamentos[[#This Row],[Código]]="","",IFERROR(INDEX(tbCategorias[Subcategoria],MATCH(tbLancamentos[[#This Row],[Código]],tbCategorias[Código],0)),"CÓDIGO INVÁLIDO"))</f>
        <v>Supermercado</v>
      </c>
      <c r="F178" s="23" t="s">
        <v>125</v>
      </c>
      <c r="G178" s="24">
        <v>450</v>
      </c>
      <c r="H178" s="23"/>
      <c r="I178" s="23"/>
      <c r="J178" s="23" t="s">
        <v>122</v>
      </c>
      <c r="K178" s="23" t="str">
        <f>IF(tbLancamentos[[#This Row],[Data]]="","",TEXT(tbLancamentos[[#This Row],[Mês]],"00")&amp;"-"&amp;CHOOSE(tbLancamentos[[#This Row],[Mês]],"JAN","FEV","MAR","ABR","MAI","JUN","JUL","AGO","SET","OUT","NOV","DEZ"))</f>
        <v>11-NOV</v>
      </c>
    </row>
    <row r="179" spans="1:11" x14ac:dyDescent="0.3">
      <c r="A179" s="21">
        <v>45962</v>
      </c>
      <c r="B179" s="22">
        <f>IF(tbLancamentos[[#This Row],[Data]]="","",MONTH(tbLancamentos[[#This Row],[Data]]))</f>
        <v>11</v>
      </c>
      <c r="C179" s="23">
        <v>12</v>
      </c>
      <c r="D179" s="22" t="str">
        <f>IF(tbLancamentos[[#This Row],[Código]]="","",IFERROR(INDEX(tbCategorias[Grupo],MATCH(tbLancamentos[[#This Row],[Código]],tbCategorias[Código],0)),"CÓDIGO INVÁLIDO"))</f>
        <v>Alimentação</v>
      </c>
      <c r="E179" s="22" t="str">
        <f>IF(tbLancamentos[[#This Row],[Código]]="","",IFERROR(INDEX(tbCategorias[Subcategoria],MATCH(tbLancamentos[[#This Row],[Código]],tbCategorias[Código],0)),"CÓDIGO INVÁLIDO"))</f>
        <v>Restaurante</v>
      </c>
      <c r="F179" s="23" t="s">
        <v>126</v>
      </c>
      <c r="G179" s="24">
        <v>140</v>
      </c>
      <c r="H179" s="23"/>
      <c r="I179" s="23"/>
      <c r="J179" s="23" t="s">
        <v>122</v>
      </c>
      <c r="K179" s="23" t="str">
        <f>IF(tbLancamentos[[#This Row],[Data]]="","",TEXT(tbLancamentos[[#This Row],[Mês]],"00")&amp;"-"&amp;CHOOSE(tbLancamentos[[#This Row],[Mês]],"JAN","FEV","MAR","ABR","MAI","JUN","JUL","AGO","SET","OUT","NOV","DEZ"))</f>
        <v>11-NOV</v>
      </c>
    </row>
    <row r="180" spans="1:11" x14ac:dyDescent="0.3">
      <c r="A180" s="21">
        <v>45962</v>
      </c>
      <c r="B180" s="22">
        <f>IF(tbLancamentos[[#This Row],[Data]]="","",MONTH(tbLancamentos[[#This Row],[Data]]))</f>
        <v>11</v>
      </c>
      <c r="C180" s="23">
        <v>13</v>
      </c>
      <c r="D180" s="22" t="str">
        <f>IF(tbLancamentos[[#This Row],[Código]]="","",IFERROR(INDEX(tbCategorias[Grupo],MATCH(tbLancamentos[[#This Row],[Código]],tbCategorias[Código],0)),"CÓDIGO INVÁLIDO"))</f>
        <v>Alimentação</v>
      </c>
      <c r="E180" s="22" t="str">
        <f>IF(tbLancamentos[[#This Row],[Código]]="","",IFERROR(INDEX(tbCategorias[Subcategoria],MATCH(tbLancamentos[[#This Row],[Código]],tbCategorias[Código],0)),"CÓDIGO INVÁLIDO"))</f>
        <v>Café / Almoço</v>
      </c>
      <c r="F180" s="23" t="s">
        <v>127</v>
      </c>
      <c r="G180" s="24">
        <v>250</v>
      </c>
      <c r="H180" s="23"/>
      <c r="I180" s="23"/>
      <c r="J180" s="23" t="s">
        <v>122</v>
      </c>
      <c r="K180" s="23" t="str">
        <f>IF(tbLancamentos[[#This Row],[Data]]="","",TEXT(tbLancamentos[[#This Row],[Mês]],"00")&amp;"-"&amp;CHOOSE(tbLancamentos[[#This Row],[Mês]],"JAN","FEV","MAR","ABR","MAI","JUN","JUL","AGO","SET","OUT","NOV","DEZ"))</f>
        <v>11-NOV</v>
      </c>
    </row>
    <row r="181" spans="1:11" x14ac:dyDescent="0.3">
      <c r="A181" s="21">
        <v>45962</v>
      </c>
      <c r="B181" s="22">
        <f>IF(tbLancamentos[[#This Row],[Data]]="","",MONTH(tbLancamentos[[#This Row],[Data]]))</f>
        <v>11</v>
      </c>
      <c r="C181" s="23">
        <v>15</v>
      </c>
      <c r="D181" s="22" t="str">
        <f>IF(tbLancamentos[[#This Row],[Código]]="","",IFERROR(INDEX(tbCategorias[Grupo],MATCH(tbLancamentos[[#This Row],[Código]],tbCategorias[Código],0)),"CÓDIGO INVÁLIDO"))</f>
        <v>Comunicação</v>
      </c>
      <c r="E181" s="22" t="str">
        <f>IF(tbLancamentos[[#This Row],[Código]]="","",IFERROR(INDEX(tbCategorias[Subcategoria],MATCH(tbLancamentos[[#This Row],[Código]],tbCategorias[Código],0)),"CÓDIGO INVÁLIDO"))</f>
        <v>Celular</v>
      </c>
      <c r="F181" s="23" t="s">
        <v>128</v>
      </c>
      <c r="G181" s="24">
        <v>45</v>
      </c>
      <c r="H181" s="23"/>
      <c r="I181" s="23"/>
      <c r="J181" s="23" t="s">
        <v>122</v>
      </c>
      <c r="K181" s="23" t="str">
        <f>IF(tbLancamentos[[#This Row],[Data]]="","",TEXT(tbLancamentos[[#This Row],[Mês]],"00")&amp;"-"&amp;CHOOSE(tbLancamentos[[#This Row],[Mês]],"JAN","FEV","MAR","ABR","MAI","JUN","JUL","AGO","SET","OUT","NOV","DEZ"))</f>
        <v>11-NOV</v>
      </c>
    </row>
    <row r="182" spans="1:11" x14ac:dyDescent="0.3">
      <c r="A182" s="21">
        <v>45962</v>
      </c>
      <c r="B182" s="22">
        <f>IF(tbLancamentos[[#This Row],[Data]]="","",MONTH(tbLancamentos[[#This Row],[Data]]))</f>
        <v>11</v>
      </c>
      <c r="C182" s="23">
        <v>16</v>
      </c>
      <c r="D182" s="22" t="str">
        <f>IF(tbLancamentos[[#This Row],[Código]]="","",IFERROR(INDEX(tbCategorias[Grupo],MATCH(tbLancamentos[[#This Row],[Código]],tbCategorias[Código],0)),"CÓDIGO INVÁLIDO"))</f>
        <v>Comunicação</v>
      </c>
      <c r="E182" s="22" t="str">
        <f>IF(tbLancamentos[[#This Row],[Código]]="","",IFERROR(INDEX(tbCategorias[Subcategoria],MATCH(tbLancamentos[[#This Row],[Código]],tbCategorias[Código],0)),"CÓDIGO INVÁLIDO"))</f>
        <v>Internet</v>
      </c>
      <c r="F182" s="23" t="s">
        <v>129</v>
      </c>
      <c r="G182" s="24">
        <v>89</v>
      </c>
      <c r="H182" s="23"/>
      <c r="I182" s="23"/>
      <c r="J182" s="23" t="s">
        <v>122</v>
      </c>
      <c r="K182" s="23" t="str">
        <f>IF(tbLancamentos[[#This Row],[Data]]="","",TEXT(tbLancamentos[[#This Row],[Mês]],"00")&amp;"-"&amp;CHOOSE(tbLancamentos[[#This Row],[Mês]],"JAN","FEV","MAR","ABR","MAI","JUN","JUL","AGO","SET","OUT","NOV","DEZ"))</f>
        <v>11-NOV</v>
      </c>
    </row>
    <row r="183" spans="1:11" x14ac:dyDescent="0.3">
      <c r="A183" s="21">
        <v>45962</v>
      </c>
      <c r="B183" s="22">
        <f>IF(tbLancamentos[[#This Row],[Data]]="","",MONTH(tbLancamentos[[#This Row],[Data]]))</f>
        <v>11</v>
      </c>
      <c r="C183" s="23">
        <v>17</v>
      </c>
      <c r="D183" s="22" t="str">
        <f>IF(tbLancamentos[[#This Row],[Código]]="","",IFERROR(INDEX(tbCategorias[Grupo],MATCH(tbLancamentos[[#This Row],[Código]],tbCategorias[Código],0)),"CÓDIGO INVÁLIDO"))</f>
        <v>Comunicação</v>
      </c>
      <c r="E183" s="22" t="str">
        <f>IF(tbLancamentos[[#This Row],[Código]]="","",IFERROR(INDEX(tbCategorias[Subcategoria],MATCH(tbLancamentos[[#This Row],[Código]],tbCategorias[Código],0)),"CÓDIGO INVÁLIDO"))</f>
        <v>Streaming (outros)</v>
      </c>
      <c r="F183" s="23" t="s">
        <v>130</v>
      </c>
      <c r="G183" s="24">
        <v>24</v>
      </c>
      <c r="H183" s="23"/>
      <c r="I183" s="23"/>
      <c r="J183" s="23" t="s">
        <v>122</v>
      </c>
      <c r="K183" s="23" t="str">
        <f>IF(tbLancamentos[[#This Row],[Data]]="","",TEXT(tbLancamentos[[#This Row],[Mês]],"00")&amp;"-"&amp;CHOOSE(tbLancamentos[[#This Row],[Mês]],"JAN","FEV","MAR","ABR","MAI","JUN","JUL","AGO","SET","OUT","NOV","DEZ"))</f>
        <v>11-NOV</v>
      </c>
    </row>
    <row r="184" spans="1:11" x14ac:dyDescent="0.3">
      <c r="A184" s="21">
        <v>45962</v>
      </c>
      <c r="B184" s="22">
        <f>IF(tbLancamentos[[#This Row],[Data]]="","",MONTH(tbLancamentos[[#This Row],[Data]]))</f>
        <v>11</v>
      </c>
      <c r="C184" s="23">
        <v>18</v>
      </c>
      <c r="D184" s="22" t="str">
        <f>IF(tbLancamentos[[#This Row],[Código]]="","",IFERROR(INDEX(tbCategorias[Grupo],MATCH(tbLancamentos[[#This Row],[Código]],tbCategorias[Código],0)),"CÓDIGO INVÁLIDO"))</f>
        <v>Comunicação</v>
      </c>
      <c r="E184" s="22" t="str">
        <f>IF(tbLancamentos[[#This Row],[Código]]="","",IFERROR(INDEX(tbCategorias[Subcategoria],MATCH(tbLancamentos[[#This Row],[Código]],tbCategorias[Código],0)),"CÓDIGO INVÁLIDO"))</f>
        <v>Netflix</v>
      </c>
      <c r="F184" s="23" t="s">
        <v>131</v>
      </c>
      <c r="G184" s="24">
        <v>22</v>
      </c>
      <c r="H184" s="23"/>
      <c r="I184" s="23"/>
      <c r="J184" s="23" t="s">
        <v>122</v>
      </c>
      <c r="K184" s="23" t="str">
        <f>IF(tbLancamentos[[#This Row],[Data]]="","",TEXT(tbLancamentos[[#This Row],[Mês]],"00")&amp;"-"&amp;CHOOSE(tbLancamentos[[#This Row],[Mês]],"JAN","FEV","MAR","ABR","MAI","JUN","JUL","AGO","SET","OUT","NOV","DEZ"))</f>
        <v>11-NOV</v>
      </c>
    </row>
    <row r="185" spans="1:11" x14ac:dyDescent="0.3">
      <c r="A185" s="21">
        <v>45962</v>
      </c>
      <c r="B185" s="22">
        <f>IF(tbLancamentos[[#This Row],[Data]]="","",MONTH(tbLancamentos[[#This Row],[Data]]))</f>
        <v>11</v>
      </c>
      <c r="C185" s="23">
        <v>19</v>
      </c>
      <c r="D185" s="22" t="str">
        <f>IF(tbLancamentos[[#This Row],[Código]]="","",IFERROR(INDEX(tbCategorias[Grupo],MATCH(tbLancamentos[[#This Row],[Código]],tbCategorias[Código],0)),"CÓDIGO INVÁLIDO"))</f>
        <v>Comunicação</v>
      </c>
      <c r="E185" s="22" t="str">
        <f>IF(tbLancamentos[[#This Row],[Código]]="","",IFERROR(INDEX(tbCategorias[Subcategoria],MATCH(tbLancamentos[[#This Row],[Código]],tbCategorias[Código],0)),"CÓDIGO INVÁLIDO"))</f>
        <v>Amazon Prime</v>
      </c>
      <c r="F185" s="23" t="s">
        <v>132</v>
      </c>
      <c r="G185" s="24">
        <v>11</v>
      </c>
      <c r="H185" s="23"/>
      <c r="I185" s="23"/>
      <c r="J185" s="23" t="s">
        <v>122</v>
      </c>
      <c r="K185" s="23" t="str">
        <f>IF(tbLancamentos[[#This Row],[Data]]="","",TEXT(tbLancamentos[[#This Row],[Mês]],"00")&amp;"-"&amp;CHOOSE(tbLancamentos[[#This Row],[Mês]],"JAN","FEV","MAR","ABR","MAI","JUN","JUL","AGO","SET","OUT","NOV","DEZ"))</f>
        <v>11-NOV</v>
      </c>
    </row>
    <row r="186" spans="1:11" x14ac:dyDescent="0.3">
      <c r="A186" s="21">
        <v>45962</v>
      </c>
      <c r="B186" s="22">
        <f>IF(tbLancamentos[[#This Row],[Data]]="","",MONTH(tbLancamentos[[#This Row],[Data]]))</f>
        <v>11</v>
      </c>
      <c r="C186" s="23">
        <v>20</v>
      </c>
      <c r="D186" s="22" t="str">
        <f>IF(tbLancamentos[[#This Row],[Código]]="","",IFERROR(INDEX(tbCategorias[Grupo],MATCH(tbLancamentos[[#This Row],[Código]],tbCategorias[Código],0)),"CÓDIGO INVÁLIDO"))</f>
        <v>Comunicação</v>
      </c>
      <c r="E186" s="22" t="str">
        <f>IF(tbLancamentos[[#This Row],[Código]]="","",IFERROR(INDEX(tbCategorias[Subcategoria],MATCH(tbLancamentos[[#This Row],[Código]],tbCategorias[Código],0)),"CÓDIGO INVÁLIDO"))</f>
        <v>Max</v>
      </c>
      <c r="F186" s="23" t="s">
        <v>133</v>
      </c>
      <c r="G186" s="24">
        <v>45</v>
      </c>
      <c r="H186" s="23"/>
      <c r="I186" s="23"/>
      <c r="J186" s="23" t="s">
        <v>122</v>
      </c>
      <c r="K186" s="23" t="str">
        <f>IF(tbLancamentos[[#This Row],[Data]]="","",TEXT(tbLancamentos[[#This Row],[Mês]],"00")&amp;"-"&amp;CHOOSE(tbLancamentos[[#This Row],[Mês]],"JAN","FEV","MAR","ABR","MAI","JUN","JUL","AGO","SET","OUT","NOV","DEZ"))</f>
        <v>11-NOV</v>
      </c>
    </row>
    <row r="187" spans="1:11" x14ac:dyDescent="0.3">
      <c r="A187" s="21">
        <v>45962</v>
      </c>
      <c r="B187" s="22">
        <f>IF(tbLancamentos[[#This Row],[Data]]="","",MONTH(tbLancamentos[[#This Row],[Data]]))</f>
        <v>11</v>
      </c>
      <c r="C187" s="23">
        <v>40</v>
      </c>
      <c r="D187" s="22" t="str">
        <f>IF(tbLancamentos[[#This Row],[Código]]="","",IFERROR(INDEX(tbCategorias[Grupo],MATCH(tbLancamentos[[#This Row],[Código]],tbCategorias[Código],0)),"CÓDIGO INVÁLIDO"))</f>
        <v>Transporte</v>
      </c>
      <c r="E187" s="22" t="str">
        <f>IF(tbLancamentos[[#This Row],[Código]]="","",IFERROR(INDEX(tbCategorias[Subcategoria],MATCH(tbLancamentos[[#This Row],[Código]],tbCategorias[Código],0)),"CÓDIGO INVÁLIDO"))</f>
        <v>Aplicativos (Uber / 99)</v>
      </c>
      <c r="F187" s="23" t="s">
        <v>134</v>
      </c>
      <c r="G187" s="24">
        <v>45</v>
      </c>
      <c r="H187" s="23"/>
      <c r="I187" s="23"/>
      <c r="J187" s="23" t="s">
        <v>122</v>
      </c>
      <c r="K187" s="23" t="str">
        <f>IF(tbLancamentos[[#This Row],[Data]]="","",TEXT(tbLancamentos[[#This Row],[Mês]],"00")&amp;"-"&amp;CHOOSE(tbLancamentos[[#This Row],[Mês]],"JAN","FEV","MAR","ABR","MAI","JUN","JUL","AGO","SET","OUT","NOV","DEZ"))</f>
        <v>11-NOV</v>
      </c>
    </row>
    <row r="188" spans="1:11" x14ac:dyDescent="0.3">
      <c r="A188" s="21">
        <v>45962</v>
      </c>
      <c r="B188" s="22">
        <f>IF(tbLancamentos[[#This Row],[Data]]="","",MONTH(tbLancamentos[[#This Row],[Data]]))</f>
        <v>11</v>
      </c>
      <c r="C188" s="23">
        <v>43</v>
      </c>
      <c r="D188" s="22" t="str">
        <f>IF(tbLancamentos[[#This Row],[Código]]="","",IFERROR(INDEX(tbCategorias[Grupo],MATCH(tbLancamentos[[#This Row],[Código]],tbCategorias[Código],0)),"CÓDIGO INVÁLIDO"))</f>
        <v>Transporte</v>
      </c>
      <c r="E188" s="22" t="str">
        <f>IF(tbLancamentos[[#This Row],[Código]]="","",IFERROR(INDEX(tbCategorias[Subcategoria],MATCH(tbLancamentos[[#This Row],[Código]],tbCategorias[Código],0)),"CÓDIGO INVÁLIDO"))</f>
        <v>Transporte Trabalho (Jhenis)</v>
      </c>
      <c r="F188" s="23" t="s">
        <v>135</v>
      </c>
      <c r="G188" s="24">
        <v>143</v>
      </c>
      <c r="H188" s="23"/>
      <c r="I188" s="23"/>
      <c r="J188" s="23" t="s">
        <v>122</v>
      </c>
      <c r="K188" s="23" t="str">
        <f>IF(tbLancamentos[[#This Row],[Data]]="","",TEXT(tbLancamentos[[#This Row],[Mês]],"00")&amp;"-"&amp;CHOOSE(tbLancamentos[[#This Row],[Mês]],"JAN","FEV","MAR","ABR","MAI","JUN","JUL","AGO","SET","OUT","NOV","DEZ"))</f>
        <v>11-NOV</v>
      </c>
    </row>
    <row r="189" spans="1:11" x14ac:dyDescent="0.3">
      <c r="A189" s="21">
        <v>45962</v>
      </c>
      <c r="B189" s="22">
        <f>IF(tbLancamentos[[#This Row],[Data]]="","",MONTH(tbLancamentos[[#This Row],[Data]]))</f>
        <v>11</v>
      </c>
      <c r="C189" s="23">
        <v>44</v>
      </c>
      <c r="D189" s="22" t="str">
        <f>IF(tbLancamentos[[#This Row],[Código]]="","",IFERROR(INDEX(tbCategorias[Grupo],MATCH(tbLancamentos[[#This Row],[Código]],tbCategorias[Código],0)),"CÓDIGO INVÁLIDO"))</f>
        <v>Transporte</v>
      </c>
      <c r="E189" s="22" t="str">
        <f>IF(tbLancamentos[[#This Row],[Código]]="","",IFERROR(INDEX(tbCategorias[Subcategoria],MATCH(tbLancamentos[[#This Row],[Código]],tbCategorias[Código],0)),"CÓDIGO INVÁLIDO"))</f>
        <v>Transporte Trabalho (Matheus)</v>
      </c>
      <c r="F189" s="23" t="s">
        <v>136</v>
      </c>
      <c r="G189" s="24">
        <v>240</v>
      </c>
      <c r="H189" s="23"/>
      <c r="I189" s="23"/>
      <c r="J189" s="23" t="s">
        <v>122</v>
      </c>
      <c r="K189" s="23" t="str">
        <f>IF(tbLancamentos[[#This Row],[Data]]="","",TEXT(tbLancamentos[[#This Row],[Mês]],"00")&amp;"-"&amp;CHOOSE(tbLancamentos[[#This Row],[Mês]],"JAN","FEV","MAR","ABR","MAI","JUN","JUL","AGO","SET","OUT","NOV","DEZ"))</f>
        <v>11-NOV</v>
      </c>
    </row>
    <row r="190" spans="1:11" x14ac:dyDescent="0.3">
      <c r="A190" s="21">
        <v>45962</v>
      </c>
      <c r="B190" s="22">
        <f>IF(tbLancamentos[[#This Row],[Data]]="","",MONTH(tbLancamentos[[#This Row],[Data]]))</f>
        <v>11</v>
      </c>
      <c r="C190" s="23">
        <v>4</v>
      </c>
      <c r="D190" s="22" t="str">
        <f>IF(tbLancamentos[[#This Row],[Código]]="","",IFERROR(INDEX(tbCategorias[Grupo],MATCH(tbLancamentos[[#This Row],[Código]],tbCategorias[Código],0)),"CÓDIGO INVÁLIDO"))</f>
        <v>Cartões e Dívidas</v>
      </c>
      <c r="E190" s="22" t="str">
        <f>IF(tbLancamentos[[#This Row],[Código]]="","",IFERROR(INDEX(tbCategorias[Subcategoria],MATCH(tbLancamentos[[#This Row],[Código]],tbCategorias[Código],0)),"CÓDIGO INVÁLIDO"))</f>
        <v>Cartão Jhenismara</v>
      </c>
      <c r="F190" s="23" t="s">
        <v>137</v>
      </c>
      <c r="G190" s="24">
        <v>1400</v>
      </c>
      <c r="H190" s="23"/>
      <c r="I190" s="23"/>
      <c r="J190" s="23" t="s">
        <v>122</v>
      </c>
      <c r="K190" s="23" t="str">
        <f>IF(tbLancamentos[[#This Row],[Data]]="","",TEXT(tbLancamentos[[#This Row],[Mês]],"00")&amp;"-"&amp;CHOOSE(tbLancamentos[[#This Row],[Mês]],"JAN","FEV","MAR","ABR","MAI","JUN","JUL","AGO","SET","OUT","NOV","DEZ"))</f>
        <v>11-NOV</v>
      </c>
    </row>
    <row r="191" spans="1:11" x14ac:dyDescent="0.3">
      <c r="A191" s="21">
        <v>45962</v>
      </c>
      <c r="B191" s="22">
        <f>IF(tbLancamentos[[#This Row],[Data]]="","",MONTH(tbLancamentos[[#This Row],[Data]]))</f>
        <v>11</v>
      </c>
      <c r="C191" s="23">
        <v>9</v>
      </c>
      <c r="D191" s="22" t="str">
        <f>IF(tbLancamentos[[#This Row],[Código]]="","",IFERROR(INDEX(tbCategorias[Grupo],MATCH(tbLancamentos[[#This Row],[Código]],tbCategorias[Código],0)),"CÓDIGO INVÁLIDO"))</f>
        <v>Cartões e Dívidas</v>
      </c>
      <c r="E191" s="22" t="str">
        <f>IF(tbLancamentos[[#This Row],[Código]]="","",IFERROR(INDEX(tbCategorias[Subcategoria],MATCH(tbLancamentos[[#This Row],[Código]],tbCategorias[Código],0)),"CÓDIGO INVÁLIDO"))</f>
        <v>Cartão Matheus</v>
      </c>
      <c r="F191" s="23" t="s">
        <v>138</v>
      </c>
      <c r="G191" s="24">
        <v>175</v>
      </c>
      <c r="H191" s="23"/>
      <c r="I191" s="23"/>
      <c r="J191" s="23" t="s">
        <v>122</v>
      </c>
      <c r="K191" s="23" t="str">
        <f>IF(tbLancamentos[[#This Row],[Data]]="","",TEXT(tbLancamentos[[#This Row],[Mês]],"00")&amp;"-"&amp;CHOOSE(tbLancamentos[[#This Row],[Mês]],"JAN","FEV","MAR","ABR","MAI","JUN","JUL","AGO","SET","OUT","NOV","DEZ"))</f>
        <v>11-NOV</v>
      </c>
    </row>
    <row r="192" spans="1:11" x14ac:dyDescent="0.3">
      <c r="A192" s="21">
        <v>45992</v>
      </c>
      <c r="B192" s="22">
        <f>IF(tbLancamentos[[#This Row],[Data]]="","",MONTH(tbLancamentos[[#This Row],[Data]]))</f>
        <v>12</v>
      </c>
      <c r="C192" s="23">
        <v>6</v>
      </c>
      <c r="D192" s="22" t="str">
        <f>IF(tbLancamentos[[#This Row],[Código]]="","",IFERROR(INDEX(tbCategorias[Grupo],MATCH(tbLancamentos[[#This Row],[Código]],tbCategorias[Código],0)),"CÓDIGO INVÁLIDO"))</f>
        <v>Moradia</v>
      </c>
      <c r="E192" s="22" t="str">
        <f>IF(tbLancamentos[[#This Row],[Código]]="","",IFERROR(INDEX(tbCategorias[Subcategoria],MATCH(tbLancamentos[[#This Row],[Código]],tbCategorias[Código],0)),"CÓDIGO INVÁLIDO"))</f>
        <v>Energia</v>
      </c>
      <c r="F192" s="23" t="s">
        <v>121</v>
      </c>
      <c r="G192" s="24">
        <v>150</v>
      </c>
      <c r="H192" s="23"/>
      <c r="I192" s="23"/>
      <c r="J192" s="23" t="s">
        <v>122</v>
      </c>
      <c r="K192" s="23" t="str">
        <f>IF(tbLancamentos[[#This Row],[Data]]="","",TEXT(tbLancamentos[[#This Row],[Mês]],"00")&amp;"-"&amp;CHOOSE(tbLancamentos[[#This Row],[Mês]],"JAN","FEV","MAR","ABR","MAI","JUN","JUL","AGO","SET","OUT","NOV","DEZ"))</f>
        <v>12-DEZ</v>
      </c>
    </row>
    <row r="193" spans="1:11" x14ac:dyDescent="0.3">
      <c r="A193" s="21">
        <v>45992</v>
      </c>
      <c r="B193" s="22">
        <f>IF(tbLancamentos[[#This Row],[Data]]="","",MONTH(tbLancamentos[[#This Row],[Data]]))</f>
        <v>12</v>
      </c>
      <c r="C193" s="23">
        <v>7</v>
      </c>
      <c r="D193" s="22" t="str">
        <f>IF(tbLancamentos[[#This Row],[Código]]="","",IFERROR(INDEX(tbCategorias[Grupo],MATCH(tbLancamentos[[#This Row],[Código]],tbCategorias[Código],0)),"CÓDIGO INVÁLIDO"))</f>
        <v>Moradia</v>
      </c>
      <c r="E193" s="22" t="str">
        <f>IF(tbLancamentos[[#This Row],[Código]]="","",IFERROR(INDEX(tbCategorias[Subcategoria],MATCH(tbLancamentos[[#This Row],[Código]],tbCategorias[Código],0)),"CÓDIGO INVÁLIDO"))</f>
        <v>Água</v>
      </c>
      <c r="F193" s="23" t="s">
        <v>123</v>
      </c>
      <c r="G193" s="24">
        <v>77</v>
      </c>
      <c r="H193" s="23"/>
      <c r="I193" s="23"/>
      <c r="J193" s="23" t="s">
        <v>122</v>
      </c>
      <c r="K193" s="23" t="str">
        <f>IF(tbLancamentos[[#This Row],[Data]]="","",TEXT(tbLancamentos[[#This Row],[Mês]],"00")&amp;"-"&amp;CHOOSE(tbLancamentos[[#This Row],[Mês]],"JAN","FEV","MAR","ABR","MAI","JUN","JUL","AGO","SET","OUT","NOV","DEZ"))</f>
        <v>12-DEZ</v>
      </c>
    </row>
    <row r="194" spans="1:11" x14ac:dyDescent="0.3">
      <c r="A194" s="21">
        <v>45992</v>
      </c>
      <c r="B194" s="22">
        <f>IF(tbLancamentos[[#This Row],[Data]]="","",MONTH(tbLancamentos[[#This Row],[Data]]))</f>
        <v>12</v>
      </c>
      <c r="C194" s="23">
        <v>8</v>
      </c>
      <c r="D194" s="22" t="str">
        <f>IF(tbLancamentos[[#This Row],[Código]]="","",IFERROR(INDEX(tbCategorias[Grupo],MATCH(tbLancamentos[[#This Row],[Código]],tbCategorias[Código],0)),"CÓDIGO INVÁLIDO"))</f>
        <v>Moradia</v>
      </c>
      <c r="E194" s="22" t="str">
        <f>IF(tbLancamentos[[#This Row],[Código]]="","",IFERROR(INDEX(tbCategorias[Subcategoria],MATCH(tbLancamentos[[#This Row],[Código]],tbCategorias[Código],0)),"CÓDIGO INVÁLIDO"))</f>
        <v>Gás</v>
      </c>
      <c r="F194" s="23" t="s">
        <v>124</v>
      </c>
      <c r="G194" s="24">
        <v>55</v>
      </c>
      <c r="H194" s="23"/>
      <c r="I194" s="23"/>
      <c r="J194" s="23" t="s">
        <v>122</v>
      </c>
      <c r="K194" s="23" t="str">
        <f>IF(tbLancamentos[[#This Row],[Data]]="","",TEXT(tbLancamentos[[#This Row],[Mês]],"00")&amp;"-"&amp;CHOOSE(tbLancamentos[[#This Row],[Mês]],"JAN","FEV","MAR","ABR","MAI","JUN","JUL","AGO","SET","OUT","NOV","DEZ"))</f>
        <v>12-DEZ</v>
      </c>
    </row>
    <row r="195" spans="1:11" x14ac:dyDescent="0.3">
      <c r="A195" s="21">
        <v>45992</v>
      </c>
      <c r="B195" s="22">
        <f>IF(tbLancamentos[[#This Row],[Data]]="","",MONTH(tbLancamentos[[#This Row],[Data]]))</f>
        <v>12</v>
      </c>
      <c r="C195" s="23">
        <v>11</v>
      </c>
      <c r="D195" s="22" t="str">
        <f>IF(tbLancamentos[[#This Row],[Código]]="","",IFERROR(INDEX(tbCategorias[Grupo],MATCH(tbLancamentos[[#This Row],[Código]],tbCategorias[Código],0)),"CÓDIGO INVÁLIDO"))</f>
        <v>Alimentação</v>
      </c>
      <c r="E195" s="22" t="str">
        <f>IF(tbLancamentos[[#This Row],[Código]]="","",IFERROR(INDEX(tbCategorias[Subcategoria],MATCH(tbLancamentos[[#This Row],[Código]],tbCategorias[Código],0)),"CÓDIGO INVÁLIDO"))</f>
        <v>Supermercado</v>
      </c>
      <c r="F195" s="23" t="s">
        <v>125</v>
      </c>
      <c r="G195" s="24">
        <v>450</v>
      </c>
      <c r="H195" s="23"/>
      <c r="I195" s="23"/>
      <c r="J195" s="23" t="s">
        <v>122</v>
      </c>
      <c r="K195" s="23" t="str">
        <f>IF(tbLancamentos[[#This Row],[Data]]="","",TEXT(tbLancamentos[[#This Row],[Mês]],"00")&amp;"-"&amp;CHOOSE(tbLancamentos[[#This Row],[Mês]],"JAN","FEV","MAR","ABR","MAI","JUN","JUL","AGO","SET","OUT","NOV","DEZ"))</f>
        <v>12-DEZ</v>
      </c>
    </row>
    <row r="196" spans="1:11" x14ac:dyDescent="0.3">
      <c r="A196" s="21">
        <v>45992</v>
      </c>
      <c r="B196" s="22">
        <f>IF(tbLancamentos[[#This Row],[Data]]="","",MONTH(tbLancamentos[[#This Row],[Data]]))</f>
        <v>12</v>
      </c>
      <c r="C196" s="23">
        <v>12</v>
      </c>
      <c r="D196" s="22" t="str">
        <f>IF(tbLancamentos[[#This Row],[Código]]="","",IFERROR(INDEX(tbCategorias[Grupo],MATCH(tbLancamentos[[#This Row],[Código]],tbCategorias[Código],0)),"CÓDIGO INVÁLIDO"))</f>
        <v>Alimentação</v>
      </c>
      <c r="E196" s="22" t="str">
        <f>IF(tbLancamentos[[#This Row],[Código]]="","",IFERROR(INDEX(tbCategorias[Subcategoria],MATCH(tbLancamentos[[#This Row],[Código]],tbCategorias[Código],0)),"CÓDIGO INVÁLIDO"))</f>
        <v>Restaurante</v>
      </c>
      <c r="F196" s="23" t="s">
        <v>126</v>
      </c>
      <c r="G196" s="24">
        <v>140</v>
      </c>
      <c r="H196" s="23"/>
      <c r="I196" s="23"/>
      <c r="J196" s="23" t="s">
        <v>122</v>
      </c>
      <c r="K196" s="23" t="str">
        <f>IF(tbLancamentos[[#This Row],[Data]]="","",TEXT(tbLancamentos[[#This Row],[Mês]],"00")&amp;"-"&amp;CHOOSE(tbLancamentos[[#This Row],[Mês]],"JAN","FEV","MAR","ABR","MAI","JUN","JUL","AGO","SET","OUT","NOV","DEZ"))</f>
        <v>12-DEZ</v>
      </c>
    </row>
    <row r="197" spans="1:11" x14ac:dyDescent="0.3">
      <c r="A197" s="21">
        <v>45992</v>
      </c>
      <c r="B197" s="22">
        <f>IF(tbLancamentos[[#This Row],[Data]]="","",MONTH(tbLancamentos[[#This Row],[Data]]))</f>
        <v>12</v>
      </c>
      <c r="C197" s="23">
        <v>13</v>
      </c>
      <c r="D197" s="22" t="str">
        <f>IF(tbLancamentos[[#This Row],[Código]]="","",IFERROR(INDEX(tbCategorias[Grupo],MATCH(tbLancamentos[[#This Row],[Código]],tbCategorias[Código],0)),"CÓDIGO INVÁLIDO"))</f>
        <v>Alimentação</v>
      </c>
      <c r="E197" s="22" t="str">
        <f>IF(tbLancamentos[[#This Row],[Código]]="","",IFERROR(INDEX(tbCategorias[Subcategoria],MATCH(tbLancamentos[[#This Row],[Código]],tbCategorias[Código],0)),"CÓDIGO INVÁLIDO"))</f>
        <v>Café / Almoço</v>
      </c>
      <c r="F197" s="23" t="s">
        <v>127</v>
      </c>
      <c r="G197" s="24">
        <v>250</v>
      </c>
      <c r="H197" s="23"/>
      <c r="I197" s="23"/>
      <c r="J197" s="23" t="s">
        <v>122</v>
      </c>
      <c r="K197" s="23" t="str">
        <f>IF(tbLancamentos[[#This Row],[Data]]="","",TEXT(tbLancamentos[[#This Row],[Mês]],"00")&amp;"-"&amp;CHOOSE(tbLancamentos[[#This Row],[Mês]],"JAN","FEV","MAR","ABR","MAI","JUN","JUL","AGO","SET","OUT","NOV","DEZ"))</f>
        <v>12-DEZ</v>
      </c>
    </row>
    <row r="198" spans="1:11" x14ac:dyDescent="0.3">
      <c r="A198" s="21">
        <v>45992</v>
      </c>
      <c r="B198" s="22">
        <f>IF(tbLancamentos[[#This Row],[Data]]="","",MONTH(tbLancamentos[[#This Row],[Data]]))</f>
        <v>12</v>
      </c>
      <c r="C198" s="23">
        <v>15</v>
      </c>
      <c r="D198" s="22" t="str">
        <f>IF(tbLancamentos[[#This Row],[Código]]="","",IFERROR(INDEX(tbCategorias[Grupo],MATCH(tbLancamentos[[#This Row],[Código]],tbCategorias[Código],0)),"CÓDIGO INVÁLIDO"))</f>
        <v>Comunicação</v>
      </c>
      <c r="E198" s="22" t="str">
        <f>IF(tbLancamentos[[#This Row],[Código]]="","",IFERROR(INDEX(tbCategorias[Subcategoria],MATCH(tbLancamentos[[#This Row],[Código]],tbCategorias[Código],0)),"CÓDIGO INVÁLIDO"))</f>
        <v>Celular</v>
      </c>
      <c r="F198" s="23" t="s">
        <v>128</v>
      </c>
      <c r="G198" s="24">
        <v>45</v>
      </c>
      <c r="H198" s="23"/>
      <c r="I198" s="23"/>
      <c r="J198" s="23" t="s">
        <v>122</v>
      </c>
      <c r="K198" s="23" t="str">
        <f>IF(tbLancamentos[[#This Row],[Data]]="","",TEXT(tbLancamentos[[#This Row],[Mês]],"00")&amp;"-"&amp;CHOOSE(tbLancamentos[[#This Row],[Mês]],"JAN","FEV","MAR","ABR","MAI","JUN","JUL","AGO","SET","OUT","NOV","DEZ"))</f>
        <v>12-DEZ</v>
      </c>
    </row>
    <row r="199" spans="1:11" x14ac:dyDescent="0.3">
      <c r="A199" s="21">
        <v>45992</v>
      </c>
      <c r="B199" s="22">
        <f>IF(tbLancamentos[[#This Row],[Data]]="","",MONTH(tbLancamentos[[#This Row],[Data]]))</f>
        <v>12</v>
      </c>
      <c r="C199" s="23">
        <v>16</v>
      </c>
      <c r="D199" s="22" t="str">
        <f>IF(tbLancamentos[[#This Row],[Código]]="","",IFERROR(INDEX(tbCategorias[Grupo],MATCH(tbLancamentos[[#This Row],[Código]],tbCategorias[Código],0)),"CÓDIGO INVÁLIDO"))</f>
        <v>Comunicação</v>
      </c>
      <c r="E199" s="22" t="str">
        <f>IF(tbLancamentos[[#This Row],[Código]]="","",IFERROR(INDEX(tbCategorias[Subcategoria],MATCH(tbLancamentos[[#This Row],[Código]],tbCategorias[Código],0)),"CÓDIGO INVÁLIDO"))</f>
        <v>Internet</v>
      </c>
      <c r="F199" s="23" t="s">
        <v>129</v>
      </c>
      <c r="G199" s="24">
        <v>89</v>
      </c>
      <c r="H199" s="23"/>
      <c r="I199" s="23"/>
      <c r="J199" s="23" t="s">
        <v>122</v>
      </c>
      <c r="K199" s="23" t="str">
        <f>IF(tbLancamentos[[#This Row],[Data]]="","",TEXT(tbLancamentos[[#This Row],[Mês]],"00")&amp;"-"&amp;CHOOSE(tbLancamentos[[#This Row],[Mês]],"JAN","FEV","MAR","ABR","MAI","JUN","JUL","AGO","SET","OUT","NOV","DEZ"))</f>
        <v>12-DEZ</v>
      </c>
    </row>
    <row r="200" spans="1:11" x14ac:dyDescent="0.3">
      <c r="A200" s="21">
        <v>45992</v>
      </c>
      <c r="B200" s="22">
        <f>IF(tbLancamentos[[#This Row],[Data]]="","",MONTH(tbLancamentos[[#This Row],[Data]]))</f>
        <v>12</v>
      </c>
      <c r="C200" s="23">
        <v>17</v>
      </c>
      <c r="D200" s="22" t="str">
        <f>IF(tbLancamentos[[#This Row],[Código]]="","",IFERROR(INDEX(tbCategorias[Grupo],MATCH(tbLancamentos[[#This Row],[Código]],tbCategorias[Código],0)),"CÓDIGO INVÁLIDO"))</f>
        <v>Comunicação</v>
      </c>
      <c r="E200" s="22" t="str">
        <f>IF(tbLancamentos[[#This Row],[Código]]="","",IFERROR(INDEX(tbCategorias[Subcategoria],MATCH(tbLancamentos[[#This Row],[Código]],tbCategorias[Código],0)),"CÓDIGO INVÁLIDO"))</f>
        <v>Streaming (outros)</v>
      </c>
      <c r="F200" s="23" t="s">
        <v>130</v>
      </c>
      <c r="G200" s="24">
        <v>24</v>
      </c>
      <c r="H200" s="23"/>
      <c r="I200" s="23"/>
      <c r="J200" s="23" t="s">
        <v>122</v>
      </c>
      <c r="K200" s="23" t="str">
        <f>IF(tbLancamentos[[#This Row],[Data]]="","",TEXT(tbLancamentos[[#This Row],[Mês]],"00")&amp;"-"&amp;CHOOSE(tbLancamentos[[#This Row],[Mês]],"JAN","FEV","MAR","ABR","MAI","JUN","JUL","AGO","SET","OUT","NOV","DEZ"))</f>
        <v>12-DEZ</v>
      </c>
    </row>
    <row r="201" spans="1:11" x14ac:dyDescent="0.3">
      <c r="A201" s="21">
        <v>45992</v>
      </c>
      <c r="B201" s="22">
        <f>IF(tbLancamentos[[#This Row],[Data]]="","",MONTH(tbLancamentos[[#This Row],[Data]]))</f>
        <v>12</v>
      </c>
      <c r="C201" s="23">
        <v>18</v>
      </c>
      <c r="D201" s="22" t="str">
        <f>IF(tbLancamentos[[#This Row],[Código]]="","",IFERROR(INDEX(tbCategorias[Grupo],MATCH(tbLancamentos[[#This Row],[Código]],tbCategorias[Código],0)),"CÓDIGO INVÁLIDO"))</f>
        <v>Comunicação</v>
      </c>
      <c r="E201" s="22" t="str">
        <f>IF(tbLancamentos[[#This Row],[Código]]="","",IFERROR(INDEX(tbCategorias[Subcategoria],MATCH(tbLancamentos[[#This Row],[Código]],tbCategorias[Código],0)),"CÓDIGO INVÁLIDO"))</f>
        <v>Netflix</v>
      </c>
      <c r="F201" s="23" t="s">
        <v>131</v>
      </c>
      <c r="G201" s="24">
        <v>22</v>
      </c>
      <c r="H201" s="23"/>
      <c r="I201" s="23"/>
      <c r="J201" s="23" t="s">
        <v>122</v>
      </c>
      <c r="K201" s="23" t="str">
        <f>IF(tbLancamentos[[#This Row],[Data]]="","",TEXT(tbLancamentos[[#This Row],[Mês]],"00")&amp;"-"&amp;CHOOSE(tbLancamentos[[#This Row],[Mês]],"JAN","FEV","MAR","ABR","MAI","JUN","JUL","AGO","SET","OUT","NOV","DEZ"))</f>
        <v>12-DEZ</v>
      </c>
    </row>
    <row r="202" spans="1:11" x14ac:dyDescent="0.3">
      <c r="A202" s="21">
        <v>45992</v>
      </c>
      <c r="B202" s="22">
        <f>IF(tbLancamentos[[#This Row],[Data]]="","",MONTH(tbLancamentos[[#This Row],[Data]]))</f>
        <v>12</v>
      </c>
      <c r="C202" s="23">
        <v>19</v>
      </c>
      <c r="D202" s="22" t="str">
        <f>IF(tbLancamentos[[#This Row],[Código]]="","",IFERROR(INDEX(tbCategorias[Grupo],MATCH(tbLancamentos[[#This Row],[Código]],tbCategorias[Código],0)),"CÓDIGO INVÁLIDO"))</f>
        <v>Comunicação</v>
      </c>
      <c r="E202" s="22" t="str">
        <f>IF(tbLancamentos[[#This Row],[Código]]="","",IFERROR(INDEX(tbCategorias[Subcategoria],MATCH(tbLancamentos[[#This Row],[Código]],tbCategorias[Código],0)),"CÓDIGO INVÁLIDO"))</f>
        <v>Amazon Prime</v>
      </c>
      <c r="F202" s="23" t="s">
        <v>132</v>
      </c>
      <c r="G202" s="24">
        <v>11</v>
      </c>
      <c r="H202" s="23"/>
      <c r="I202" s="23"/>
      <c r="J202" s="23" t="s">
        <v>122</v>
      </c>
      <c r="K202" s="23" t="str">
        <f>IF(tbLancamentos[[#This Row],[Data]]="","",TEXT(tbLancamentos[[#This Row],[Mês]],"00")&amp;"-"&amp;CHOOSE(tbLancamentos[[#This Row],[Mês]],"JAN","FEV","MAR","ABR","MAI","JUN","JUL","AGO","SET","OUT","NOV","DEZ"))</f>
        <v>12-DEZ</v>
      </c>
    </row>
    <row r="203" spans="1:11" x14ac:dyDescent="0.3">
      <c r="A203" s="21">
        <v>45992</v>
      </c>
      <c r="B203" s="22">
        <f>IF(tbLancamentos[[#This Row],[Data]]="","",MONTH(tbLancamentos[[#This Row],[Data]]))</f>
        <v>12</v>
      </c>
      <c r="C203" s="23">
        <v>20</v>
      </c>
      <c r="D203" s="22" t="str">
        <f>IF(tbLancamentos[[#This Row],[Código]]="","",IFERROR(INDEX(tbCategorias[Grupo],MATCH(tbLancamentos[[#This Row],[Código]],tbCategorias[Código],0)),"CÓDIGO INVÁLIDO"))</f>
        <v>Comunicação</v>
      </c>
      <c r="E203" s="22" t="str">
        <f>IF(tbLancamentos[[#This Row],[Código]]="","",IFERROR(INDEX(tbCategorias[Subcategoria],MATCH(tbLancamentos[[#This Row],[Código]],tbCategorias[Código],0)),"CÓDIGO INVÁLIDO"))</f>
        <v>Max</v>
      </c>
      <c r="F203" s="23" t="s">
        <v>133</v>
      </c>
      <c r="G203" s="24">
        <v>45</v>
      </c>
      <c r="H203" s="23"/>
      <c r="I203" s="23"/>
      <c r="J203" s="23" t="s">
        <v>122</v>
      </c>
      <c r="K203" s="23" t="str">
        <f>IF(tbLancamentos[[#This Row],[Data]]="","",TEXT(tbLancamentos[[#This Row],[Mês]],"00")&amp;"-"&amp;CHOOSE(tbLancamentos[[#This Row],[Mês]],"JAN","FEV","MAR","ABR","MAI","JUN","JUL","AGO","SET","OUT","NOV","DEZ"))</f>
        <v>12-DEZ</v>
      </c>
    </row>
    <row r="204" spans="1:11" x14ac:dyDescent="0.3">
      <c r="A204" s="21">
        <v>45992</v>
      </c>
      <c r="B204" s="22">
        <f>IF(tbLancamentos[[#This Row],[Data]]="","",MONTH(tbLancamentos[[#This Row],[Data]]))</f>
        <v>12</v>
      </c>
      <c r="C204" s="23">
        <v>40</v>
      </c>
      <c r="D204" s="22" t="str">
        <f>IF(tbLancamentos[[#This Row],[Código]]="","",IFERROR(INDEX(tbCategorias[Grupo],MATCH(tbLancamentos[[#This Row],[Código]],tbCategorias[Código],0)),"CÓDIGO INVÁLIDO"))</f>
        <v>Transporte</v>
      </c>
      <c r="E204" s="22" t="str">
        <f>IF(tbLancamentos[[#This Row],[Código]]="","",IFERROR(INDEX(tbCategorias[Subcategoria],MATCH(tbLancamentos[[#This Row],[Código]],tbCategorias[Código],0)),"CÓDIGO INVÁLIDO"))</f>
        <v>Aplicativos (Uber / 99)</v>
      </c>
      <c r="F204" s="23" t="s">
        <v>134</v>
      </c>
      <c r="G204" s="24">
        <v>45</v>
      </c>
      <c r="H204" s="23"/>
      <c r="I204" s="23"/>
      <c r="J204" s="23" t="s">
        <v>122</v>
      </c>
      <c r="K204" s="23" t="str">
        <f>IF(tbLancamentos[[#This Row],[Data]]="","",TEXT(tbLancamentos[[#This Row],[Mês]],"00")&amp;"-"&amp;CHOOSE(tbLancamentos[[#This Row],[Mês]],"JAN","FEV","MAR","ABR","MAI","JUN","JUL","AGO","SET","OUT","NOV","DEZ"))</f>
        <v>12-DEZ</v>
      </c>
    </row>
    <row r="205" spans="1:11" x14ac:dyDescent="0.3">
      <c r="A205" s="21">
        <v>45992</v>
      </c>
      <c r="B205" s="22">
        <f>IF(tbLancamentos[[#This Row],[Data]]="","",MONTH(tbLancamentos[[#This Row],[Data]]))</f>
        <v>12</v>
      </c>
      <c r="C205" s="23">
        <v>43</v>
      </c>
      <c r="D205" s="22" t="str">
        <f>IF(tbLancamentos[[#This Row],[Código]]="","",IFERROR(INDEX(tbCategorias[Grupo],MATCH(tbLancamentos[[#This Row],[Código]],tbCategorias[Código],0)),"CÓDIGO INVÁLIDO"))</f>
        <v>Transporte</v>
      </c>
      <c r="E205" s="22" t="str">
        <f>IF(tbLancamentos[[#This Row],[Código]]="","",IFERROR(INDEX(tbCategorias[Subcategoria],MATCH(tbLancamentos[[#This Row],[Código]],tbCategorias[Código],0)),"CÓDIGO INVÁLIDO"))</f>
        <v>Transporte Trabalho (Jhenis)</v>
      </c>
      <c r="F205" s="23" t="s">
        <v>135</v>
      </c>
      <c r="G205" s="24">
        <v>143</v>
      </c>
      <c r="H205" s="23"/>
      <c r="I205" s="23"/>
      <c r="J205" s="23" t="s">
        <v>122</v>
      </c>
      <c r="K205" s="23" t="str">
        <f>IF(tbLancamentos[[#This Row],[Data]]="","",TEXT(tbLancamentos[[#This Row],[Mês]],"00")&amp;"-"&amp;CHOOSE(tbLancamentos[[#This Row],[Mês]],"JAN","FEV","MAR","ABR","MAI","JUN","JUL","AGO","SET","OUT","NOV","DEZ"))</f>
        <v>12-DEZ</v>
      </c>
    </row>
    <row r="206" spans="1:11" x14ac:dyDescent="0.3">
      <c r="A206" s="21">
        <v>45992</v>
      </c>
      <c r="B206" s="22">
        <f>IF(tbLancamentos[[#This Row],[Data]]="","",MONTH(tbLancamentos[[#This Row],[Data]]))</f>
        <v>12</v>
      </c>
      <c r="C206" s="23">
        <v>44</v>
      </c>
      <c r="D206" s="22" t="str">
        <f>IF(tbLancamentos[[#This Row],[Código]]="","",IFERROR(INDEX(tbCategorias[Grupo],MATCH(tbLancamentos[[#This Row],[Código]],tbCategorias[Código],0)),"CÓDIGO INVÁLIDO"))</f>
        <v>Transporte</v>
      </c>
      <c r="E206" s="22" t="str">
        <f>IF(tbLancamentos[[#This Row],[Código]]="","",IFERROR(INDEX(tbCategorias[Subcategoria],MATCH(tbLancamentos[[#This Row],[Código]],tbCategorias[Código],0)),"CÓDIGO INVÁLIDO"))</f>
        <v>Transporte Trabalho (Matheus)</v>
      </c>
      <c r="F206" s="23" t="s">
        <v>136</v>
      </c>
      <c r="G206" s="24">
        <v>240</v>
      </c>
      <c r="H206" s="23"/>
      <c r="I206" s="23"/>
      <c r="J206" s="23" t="s">
        <v>122</v>
      </c>
      <c r="K206" s="23" t="str">
        <f>IF(tbLancamentos[[#This Row],[Data]]="","",TEXT(tbLancamentos[[#This Row],[Mês]],"00")&amp;"-"&amp;CHOOSE(tbLancamentos[[#This Row],[Mês]],"JAN","FEV","MAR","ABR","MAI","JUN","JUL","AGO","SET","OUT","NOV","DEZ"))</f>
        <v>12-DEZ</v>
      </c>
    </row>
    <row r="207" spans="1:11" x14ac:dyDescent="0.3">
      <c r="A207" s="21">
        <v>45992</v>
      </c>
      <c r="B207" s="22">
        <f>IF(tbLancamentos[[#This Row],[Data]]="","",MONTH(tbLancamentos[[#This Row],[Data]]))</f>
        <v>12</v>
      </c>
      <c r="C207" s="23">
        <v>4</v>
      </c>
      <c r="D207" s="22" t="str">
        <f>IF(tbLancamentos[[#This Row],[Código]]="","",IFERROR(INDEX(tbCategorias[Grupo],MATCH(tbLancamentos[[#This Row],[Código]],tbCategorias[Código],0)),"CÓDIGO INVÁLIDO"))</f>
        <v>Cartões e Dívidas</v>
      </c>
      <c r="E207" s="22" t="str">
        <f>IF(tbLancamentos[[#This Row],[Código]]="","",IFERROR(INDEX(tbCategorias[Subcategoria],MATCH(tbLancamentos[[#This Row],[Código]],tbCategorias[Código],0)),"CÓDIGO INVÁLIDO"))</f>
        <v>Cartão Jhenismara</v>
      </c>
      <c r="F207" s="23" t="s">
        <v>137</v>
      </c>
      <c r="G207" s="24">
        <v>1400</v>
      </c>
      <c r="H207" s="23"/>
      <c r="I207" s="23"/>
      <c r="J207" s="23" t="s">
        <v>122</v>
      </c>
      <c r="K207" s="23" t="str">
        <f>IF(tbLancamentos[[#This Row],[Data]]="","",TEXT(tbLancamentos[[#This Row],[Mês]],"00")&amp;"-"&amp;CHOOSE(tbLancamentos[[#This Row],[Mês]],"JAN","FEV","MAR","ABR","MAI","JUN","JUL","AGO","SET","OUT","NOV","DEZ"))</f>
        <v>12-DEZ</v>
      </c>
    </row>
    <row r="208" spans="1:11" x14ac:dyDescent="0.3">
      <c r="A208" s="21">
        <v>45992</v>
      </c>
      <c r="B208" s="22">
        <f>IF(tbLancamentos[[#This Row],[Data]]="","",MONTH(tbLancamentos[[#This Row],[Data]]))</f>
        <v>12</v>
      </c>
      <c r="C208" s="23">
        <v>9</v>
      </c>
      <c r="D208" s="22" t="str">
        <f>IF(tbLancamentos[[#This Row],[Código]]="","",IFERROR(INDEX(tbCategorias[Grupo],MATCH(tbLancamentos[[#This Row],[Código]],tbCategorias[Código],0)),"CÓDIGO INVÁLIDO"))</f>
        <v>Cartões e Dívidas</v>
      </c>
      <c r="E208" s="22" t="str">
        <f>IF(tbLancamentos[[#This Row],[Código]]="","",IFERROR(INDEX(tbCategorias[Subcategoria],MATCH(tbLancamentos[[#This Row],[Código]],tbCategorias[Código],0)),"CÓDIGO INVÁLIDO"))</f>
        <v>Cartão Matheus</v>
      </c>
      <c r="F208" s="23" t="s">
        <v>138</v>
      </c>
      <c r="G208" s="24">
        <v>175</v>
      </c>
      <c r="H208" s="23"/>
      <c r="I208" s="23"/>
      <c r="J208" s="23" t="s">
        <v>122</v>
      </c>
      <c r="K208" s="23" t="str">
        <f>IF(tbLancamentos[[#This Row],[Data]]="","",TEXT(tbLancamentos[[#This Row],[Mês]],"00")&amp;"-"&amp;CHOOSE(tbLancamentos[[#This Row],[Mês]],"JAN","FEV","MAR","ABR","MAI","JUN","JUL","AGO","SET","OUT","NOV","DEZ"))</f>
        <v>12-DEZ</v>
      </c>
    </row>
  </sheetData>
  <conditionalFormatting sqref="A5:K208">
    <cfRule type="expression" dxfId="36" priority="2">
      <formula>AND($A5&lt;&gt;"",OR($C5="",$G5=""))</formula>
    </cfRule>
  </conditionalFormatting>
  <conditionalFormatting sqref="D5:E208">
    <cfRule type="cellIs" dxfId="35" priority="1" operator="equal">
      <formula>"CÓDIGO INVÁLIDO"</formula>
    </cfRule>
  </conditionalFormatting>
  <dataValidations count="4">
    <dataValidation type="date" showErrorMessage="1" errorTitle="Data inválida" error="A data deve estar dentro do ano de referência (aba Instruções)." sqref="A5:A208" xr:uid="{00000000-0002-0000-0400-000000000000}">
      <formula1>DATE(Ano,1,1)</formula1>
      <formula2>DATE(Ano,12,31)</formula2>
    </dataValidation>
    <dataValidation type="decimal" operator="greaterThan" showErrorMessage="1" errorTitle="Valor inválido" error="O valor deve ser maior que zero." sqref="G5:G208" xr:uid="{00000000-0002-0000-0400-000002000000}">
      <formula1>0</formula1>
    </dataValidation>
    <dataValidation type="list" allowBlank="1" sqref="H5:H208" xr:uid="{00000000-0002-0000-0400-000003000000}">
      <formula1>"Pix,Débito,Crédito,Dinheiro,Boleto,Transferência"</formula1>
    </dataValidation>
    <dataValidation type="list" allowBlank="1" sqref="I5:I208" xr:uid="{00000000-0002-0000-0400-000004000000}">
      <formula1>"Matheus,Jhenis,Casa"</formula1>
    </dataValidation>
  </dataValidations>
  <pageMargins left="0.75" right="0.75" top="1" bottom="1" header="0.5" footer="0.5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Código inválido" error="Use um código da aba Categorias." xr:uid="{00000000-0002-0000-0400-000001000000}">
          <x14:formula1>
            <xm:f>Categorias!$A$4:$A$127</xm:f>
          </x14:formula1>
          <xm:sqref>C5:C208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P79"/>
  <sheetViews>
    <sheetView showGridLines="0" showRowColHeaders="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9" style="7" customWidth="1"/>
    <col min="2" max="2" width="18" style="7" customWidth="1"/>
    <col min="3" max="3" width="30" style="7" customWidth="1"/>
    <col min="4" max="15" width="11" style="7" customWidth="1"/>
    <col min="16" max="16" width="13" style="7" customWidth="1"/>
    <col min="17" max="16384" width="9.140625" style="7"/>
  </cols>
  <sheetData>
    <row r="1" spans="1:16" ht="44.1" customHeight="1" x14ac:dyDescent="0.45">
      <c r="A1" s="5"/>
    </row>
    <row r="2" spans="1:16" ht="30" customHeight="1" x14ac:dyDescent="0.3">
      <c r="A2" s="18"/>
    </row>
    <row r="4" spans="1:16" x14ac:dyDescent="0.3">
      <c r="A4" s="29" t="s">
        <v>6</v>
      </c>
      <c r="B4" s="29" t="s">
        <v>21</v>
      </c>
      <c r="C4" s="29" t="s">
        <v>7</v>
      </c>
      <c r="D4" s="29" t="s">
        <v>0</v>
      </c>
      <c r="E4" s="29" t="s">
        <v>96</v>
      </c>
      <c r="F4" s="29" t="s">
        <v>97</v>
      </c>
      <c r="G4" s="29" t="s">
        <v>98</v>
      </c>
      <c r="H4" s="29" t="s">
        <v>99</v>
      </c>
      <c r="I4" s="29" t="s">
        <v>100</v>
      </c>
      <c r="J4" s="29" t="s">
        <v>101</v>
      </c>
      <c r="K4" s="29" t="s">
        <v>102</v>
      </c>
      <c r="L4" s="29" t="s">
        <v>103</v>
      </c>
      <c r="M4" s="29" t="s">
        <v>104</v>
      </c>
      <c r="N4" s="29" t="s">
        <v>105</v>
      </c>
      <c r="O4" s="29" t="s">
        <v>106</v>
      </c>
      <c r="P4" s="29" t="s">
        <v>107</v>
      </c>
    </row>
    <row r="5" spans="1:16" x14ac:dyDescent="0.3">
      <c r="A5" s="30">
        <v>1</v>
      </c>
      <c r="B5" s="31" t="str">
        <f>IFERROR(INDEX(Categorias!$B$4:$B$300,MATCH($A5,Categorias!$A$4:$A$300,0)),"CÓDIGO INVÁLIDO")</f>
        <v>Moradia</v>
      </c>
      <c r="C5" s="31" t="str">
        <f>IFERROR(INDEX(Categorias!$C$4:$C$300,MATCH($A5,Categorias!$A$4:$A$300,0)),"CÓDIGO INVÁLIDO")</f>
        <v>Caixa de Emergência</v>
      </c>
      <c r="D5" s="32">
        <v>150</v>
      </c>
      <c r="E5" s="32">
        <v>150</v>
      </c>
      <c r="F5" s="32">
        <v>150</v>
      </c>
      <c r="G5" s="32">
        <v>150</v>
      </c>
      <c r="H5" s="32">
        <v>150</v>
      </c>
      <c r="I5" s="32">
        <v>150</v>
      </c>
      <c r="J5" s="32">
        <v>150</v>
      </c>
      <c r="K5" s="32">
        <v>150</v>
      </c>
      <c r="L5" s="32">
        <v>150</v>
      </c>
      <c r="M5" s="32">
        <v>150</v>
      </c>
      <c r="N5" s="32">
        <v>150</v>
      </c>
      <c r="O5" s="32">
        <v>150</v>
      </c>
      <c r="P5" s="33">
        <f t="shared" ref="P5:P36" si="0">SUM(D5:O5)</f>
        <v>1800</v>
      </c>
    </row>
    <row r="6" spans="1:16" x14ac:dyDescent="0.3">
      <c r="A6" s="30">
        <v>2</v>
      </c>
      <c r="B6" s="31" t="str">
        <f>IFERROR(INDEX(Categorias!$B$4:$B$300,MATCH($A6,Categorias!$A$4:$A$300,0)),"CÓDIGO INVÁLIDO")</f>
        <v>Moradia</v>
      </c>
      <c r="C6" s="31" t="str">
        <f>IFERROR(INDEX(Categorias!$C$4:$C$300,MATCH($A6,Categorias!$A$4:$A$300,0)),"CÓDIGO INVÁLIDO")</f>
        <v>Despesas Fixas Inevitáveis</v>
      </c>
      <c r="D6" s="32">
        <v>1200</v>
      </c>
      <c r="E6" s="32">
        <v>1200</v>
      </c>
      <c r="F6" s="32">
        <v>1200</v>
      </c>
      <c r="G6" s="32">
        <v>1200</v>
      </c>
      <c r="H6" s="32">
        <v>1200</v>
      </c>
      <c r="I6" s="32">
        <v>1200</v>
      </c>
      <c r="J6" s="32">
        <v>1200</v>
      </c>
      <c r="K6" s="32">
        <v>1200</v>
      </c>
      <c r="L6" s="32">
        <v>1200</v>
      </c>
      <c r="M6" s="32">
        <v>1200</v>
      </c>
      <c r="N6" s="32">
        <v>1200</v>
      </c>
      <c r="O6" s="32">
        <v>1200</v>
      </c>
      <c r="P6" s="33">
        <f t="shared" si="0"/>
        <v>14400</v>
      </c>
    </row>
    <row r="7" spans="1:16" x14ac:dyDescent="0.3">
      <c r="A7" s="30">
        <v>3</v>
      </c>
      <c r="B7" s="31" t="str">
        <f>IFERROR(INDEX(Categorias!$B$4:$B$300,MATCH($A7,Categorias!$A$4:$A$300,0)),"CÓDIGO INVÁLIDO")</f>
        <v>Moradia</v>
      </c>
      <c r="C7" s="31" t="str">
        <f>IFERROR(INDEX(Categorias!$C$4:$C$300,MATCH($A7,Categorias!$A$4:$A$300,0)),"CÓDIGO INVÁLIDO")</f>
        <v>DAS (Jhenis)</v>
      </c>
      <c r="D7" s="32">
        <v>250</v>
      </c>
      <c r="E7" s="32">
        <v>250</v>
      </c>
      <c r="F7" s="32">
        <v>250</v>
      </c>
      <c r="G7" s="32">
        <v>250</v>
      </c>
      <c r="H7" s="32">
        <v>250</v>
      </c>
      <c r="I7" s="32">
        <v>250</v>
      </c>
      <c r="J7" s="32">
        <v>250</v>
      </c>
      <c r="K7" s="32">
        <v>250</v>
      </c>
      <c r="L7" s="32">
        <v>250</v>
      </c>
      <c r="M7" s="32">
        <v>250</v>
      </c>
      <c r="N7" s="32">
        <v>250</v>
      </c>
      <c r="O7" s="32">
        <v>250</v>
      </c>
      <c r="P7" s="33">
        <f t="shared" si="0"/>
        <v>3000</v>
      </c>
    </row>
    <row r="8" spans="1:16" x14ac:dyDescent="0.3">
      <c r="A8" s="30">
        <v>5</v>
      </c>
      <c r="B8" s="31" t="str">
        <f>IFERROR(INDEX(Categorias!$B$4:$B$300,MATCH($A8,Categorias!$A$4:$A$300,0)),"CÓDIGO INVÁLIDO")</f>
        <v>Moradia</v>
      </c>
      <c r="C8" s="31" t="str">
        <f>IFERROR(INDEX(Categorias!$C$4:$C$300,MATCH($A8,Categorias!$A$4:$A$300,0)),"CÓDIGO INVÁLIDO")</f>
        <v>Emergência Casa</v>
      </c>
      <c r="D8" s="32">
        <v>120</v>
      </c>
      <c r="E8" s="32">
        <v>120</v>
      </c>
      <c r="F8" s="32">
        <v>120</v>
      </c>
      <c r="G8" s="32">
        <v>120</v>
      </c>
      <c r="H8" s="32">
        <v>120</v>
      </c>
      <c r="I8" s="32">
        <v>120</v>
      </c>
      <c r="J8" s="32">
        <v>120</v>
      </c>
      <c r="K8" s="32">
        <v>120</v>
      </c>
      <c r="L8" s="32">
        <v>120</v>
      </c>
      <c r="M8" s="32">
        <v>120</v>
      </c>
      <c r="N8" s="32">
        <v>120</v>
      </c>
      <c r="O8" s="32">
        <v>120</v>
      </c>
      <c r="P8" s="33">
        <f t="shared" si="0"/>
        <v>1440</v>
      </c>
    </row>
    <row r="9" spans="1:16" x14ac:dyDescent="0.3">
      <c r="A9" s="30">
        <v>6</v>
      </c>
      <c r="B9" s="31" t="str">
        <f>IFERROR(INDEX(Categorias!$B$4:$B$300,MATCH($A9,Categorias!$A$4:$A$300,0)),"CÓDIGO INVÁLIDO")</f>
        <v>Moradia</v>
      </c>
      <c r="C9" s="31" t="str">
        <f>IFERROR(INDEX(Categorias!$C$4:$C$300,MATCH($A9,Categorias!$A$4:$A$300,0)),"CÓDIGO INVÁLIDO")</f>
        <v>Energia</v>
      </c>
      <c r="D9" s="32">
        <v>150</v>
      </c>
      <c r="E9" s="32">
        <v>150</v>
      </c>
      <c r="F9" s="32">
        <v>150</v>
      </c>
      <c r="G9" s="32">
        <v>150</v>
      </c>
      <c r="H9" s="32">
        <v>150</v>
      </c>
      <c r="I9" s="32">
        <v>150</v>
      </c>
      <c r="J9" s="32">
        <v>150</v>
      </c>
      <c r="K9" s="32">
        <v>150</v>
      </c>
      <c r="L9" s="32">
        <v>150</v>
      </c>
      <c r="M9" s="32">
        <v>150</v>
      </c>
      <c r="N9" s="32">
        <v>150</v>
      </c>
      <c r="O9" s="32">
        <v>150</v>
      </c>
      <c r="P9" s="33">
        <f t="shared" si="0"/>
        <v>1800</v>
      </c>
    </row>
    <row r="10" spans="1:16" x14ac:dyDescent="0.3">
      <c r="A10" s="30">
        <v>7</v>
      </c>
      <c r="B10" s="31" t="str">
        <f>IFERROR(INDEX(Categorias!$B$4:$B$300,MATCH($A10,Categorias!$A$4:$A$300,0)),"CÓDIGO INVÁLIDO")</f>
        <v>Moradia</v>
      </c>
      <c r="C10" s="31" t="str">
        <f>IFERROR(INDEX(Categorias!$C$4:$C$300,MATCH($A10,Categorias!$A$4:$A$300,0)),"CÓDIGO INVÁLIDO")</f>
        <v>Água</v>
      </c>
      <c r="D10" s="32">
        <v>77</v>
      </c>
      <c r="E10" s="32">
        <v>77</v>
      </c>
      <c r="F10" s="32">
        <v>77</v>
      </c>
      <c r="G10" s="32">
        <v>77</v>
      </c>
      <c r="H10" s="32">
        <v>77</v>
      </c>
      <c r="I10" s="32">
        <v>77</v>
      </c>
      <c r="J10" s="32">
        <v>77</v>
      </c>
      <c r="K10" s="32">
        <v>77</v>
      </c>
      <c r="L10" s="32">
        <v>77</v>
      </c>
      <c r="M10" s="32">
        <v>77</v>
      </c>
      <c r="N10" s="32">
        <v>77</v>
      </c>
      <c r="O10" s="32">
        <v>77</v>
      </c>
      <c r="P10" s="33">
        <f t="shared" si="0"/>
        <v>924</v>
      </c>
    </row>
    <row r="11" spans="1:16" x14ac:dyDescent="0.3">
      <c r="A11" s="30">
        <v>8</v>
      </c>
      <c r="B11" s="31" t="str">
        <f>IFERROR(INDEX(Categorias!$B$4:$B$300,MATCH($A11,Categorias!$A$4:$A$300,0)),"CÓDIGO INVÁLIDO")</f>
        <v>Moradia</v>
      </c>
      <c r="C11" s="31" t="str">
        <f>IFERROR(INDEX(Categorias!$C$4:$C$300,MATCH($A11,Categorias!$A$4:$A$300,0)),"CÓDIGO INVÁLIDO")</f>
        <v>Gás</v>
      </c>
      <c r="D11" s="32">
        <v>55</v>
      </c>
      <c r="E11" s="32">
        <v>55</v>
      </c>
      <c r="F11" s="32">
        <v>55</v>
      </c>
      <c r="G11" s="32">
        <v>55</v>
      </c>
      <c r="H11" s="32">
        <v>55</v>
      </c>
      <c r="I11" s="32">
        <v>55</v>
      </c>
      <c r="J11" s="32">
        <v>55</v>
      </c>
      <c r="K11" s="32">
        <v>55</v>
      </c>
      <c r="L11" s="32">
        <v>55</v>
      </c>
      <c r="M11" s="32">
        <v>55</v>
      </c>
      <c r="N11" s="32">
        <v>55</v>
      </c>
      <c r="O11" s="32">
        <v>55</v>
      </c>
      <c r="P11" s="33">
        <f t="shared" si="0"/>
        <v>660</v>
      </c>
    </row>
    <row r="12" spans="1:16" x14ac:dyDescent="0.3">
      <c r="A12" s="30">
        <v>10</v>
      </c>
      <c r="B12" s="31" t="str">
        <f>IFERROR(INDEX(Categorias!$B$4:$B$300,MATCH($A12,Categorias!$A$4:$A$300,0)),"CÓDIGO INVÁLIDO")</f>
        <v>Moradia</v>
      </c>
      <c r="C12" s="31" t="str">
        <f>IFERROR(INDEX(Categorias!$C$4:$C$300,MATCH($A12,Categorias!$A$4:$A$300,0)),"CÓDIGO INVÁLIDO")</f>
        <v>Outras Despesas</v>
      </c>
      <c r="D12" s="32">
        <v>0</v>
      </c>
      <c r="E12" s="32">
        <v>0</v>
      </c>
      <c r="F12" s="32">
        <v>0</v>
      </c>
      <c r="G12" s="32">
        <v>0</v>
      </c>
      <c r="H12" s="32">
        <v>0</v>
      </c>
      <c r="I12" s="32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3">
        <f t="shared" si="0"/>
        <v>0</v>
      </c>
    </row>
    <row r="13" spans="1:16" x14ac:dyDescent="0.3">
      <c r="A13" s="30">
        <v>11</v>
      </c>
      <c r="B13" s="31" t="str">
        <f>IFERROR(INDEX(Categorias!$B$4:$B$300,MATCH($A13,Categorias!$A$4:$A$300,0)),"CÓDIGO INVÁLIDO")</f>
        <v>Alimentação</v>
      </c>
      <c r="C13" s="31" t="str">
        <f>IFERROR(INDEX(Categorias!$C$4:$C$300,MATCH($A13,Categorias!$A$4:$A$300,0)),"CÓDIGO INVÁLIDO")</f>
        <v>Supermercado</v>
      </c>
      <c r="D13" s="32">
        <v>450</v>
      </c>
      <c r="E13" s="32">
        <v>450</v>
      </c>
      <c r="F13" s="32">
        <v>450</v>
      </c>
      <c r="G13" s="32">
        <v>450</v>
      </c>
      <c r="H13" s="32">
        <v>450</v>
      </c>
      <c r="I13" s="32">
        <v>450</v>
      </c>
      <c r="J13" s="32">
        <v>450</v>
      </c>
      <c r="K13" s="32">
        <v>450</v>
      </c>
      <c r="L13" s="32">
        <v>450</v>
      </c>
      <c r="M13" s="32">
        <v>450</v>
      </c>
      <c r="N13" s="32">
        <v>450</v>
      </c>
      <c r="O13" s="32">
        <v>450</v>
      </c>
      <c r="P13" s="33">
        <f t="shared" si="0"/>
        <v>5400</v>
      </c>
    </row>
    <row r="14" spans="1:16" x14ac:dyDescent="0.3">
      <c r="A14" s="30">
        <v>12</v>
      </c>
      <c r="B14" s="31" t="str">
        <f>IFERROR(INDEX(Categorias!$B$4:$B$300,MATCH($A14,Categorias!$A$4:$A$300,0)),"CÓDIGO INVÁLIDO")</f>
        <v>Alimentação</v>
      </c>
      <c r="C14" s="31" t="str">
        <f>IFERROR(INDEX(Categorias!$C$4:$C$300,MATCH($A14,Categorias!$A$4:$A$300,0)),"CÓDIGO INVÁLIDO")</f>
        <v>Restaurante</v>
      </c>
      <c r="D14" s="32">
        <v>140</v>
      </c>
      <c r="E14" s="32">
        <v>140</v>
      </c>
      <c r="F14" s="32">
        <v>140</v>
      </c>
      <c r="G14" s="32">
        <v>140</v>
      </c>
      <c r="H14" s="32">
        <v>140</v>
      </c>
      <c r="I14" s="32">
        <v>140</v>
      </c>
      <c r="J14" s="32">
        <v>140</v>
      </c>
      <c r="K14" s="32">
        <v>140</v>
      </c>
      <c r="L14" s="32">
        <v>140</v>
      </c>
      <c r="M14" s="32">
        <v>140</v>
      </c>
      <c r="N14" s="32">
        <v>140</v>
      </c>
      <c r="O14" s="32">
        <v>140</v>
      </c>
      <c r="P14" s="33">
        <f t="shared" si="0"/>
        <v>1680</v>
      </c>
    </row>
    <row r="15" spans="1:16" x14ac:dyDescent="0.3">
      <c r="A15" s="30">
        <v>13</v>
      </c>
      <c r="B15" s="31" t="str">
        <f>IFERROR(INDEX(Categorias!$B$4:$B$300,MATCH($A15,Categorias!$A$4:$A$300,0)),"CÓDIGO INVÁLIDO")</f>
        <v>Alimentação</v>
      </c>
      <c r="C15" s="31" t="str">
        <f>IFERROR(INDEX(Categorias!$C$4:$C$300,MATCH($A15,Categorias!$A$4:$A$300,0)),"CÓDIGO INVÁLIDO")</f>
        <v>Café / Almoço</v>
      </c>
      <c r="D15" s="32">
        <v>100</v>
      </c>
      <c r="E15" s="32">
        <v>100</v>
      </c>
      <c r="F15" s="32">
        <v>100</v>
      </c>
      <c r="G15" s="32">
        <v>100</v>
      </c>
      <c r="H15" s="32">
        <v>100</v>
      </c>
      <c r="I15" s="32">
        <v>100</v>
      </c>
      <c r="J15" s="32">
        <v>100</v>
      </c>
      <c r="K15" s="32">
        <v>100</v>
      </c>
      <c r="L15" s="32">
        <v>100</v>
      </c>
      <c r="M15" s="32">
        <v>100</v>
      </c>
      <c r="N15" s="32">
        <v>100</v>
      </c>
      <c r="O15" s="32">
        <v>100</v>
      </c>
      <c r="P15" s="33">
        <f t="shared" si="0"/>
        <v>1200</v>
      </c>
    </row>
    <row r="16" spans="1:16" x14ac:dyDescent="0.3">
      <c r="A16" s="30">
        <v>14</v>
      </c>
      <c r="B16" s="31" t="str">
        <f>IFERROR(INDEX(Categorias!$B$4:$B$300,MATCH($A16,Categorias!$A$4:$A$300,0)),"CÓDIGO INVÁLIDO")</f>
        <v>Alimentação</v>
      </c>
      <c r="C16" s="31" t="str">
        <f>IFERROR(INDEX(Categorias!$C$4:$C$300,MATCH($A16,Categorias!$A$4:$A$300,0)),"CÓDIGO INVÁLIDO")</f>
        <v>Pedidos iFood</v>
      </c>
      <c r="D16" s="32">
        <v>140</v>
      </c>
      <c r="E16" s="32">
        <v>140</v>
      </c>
      <c r="F16" s="32">
        <v>140</v>
      </c>
      <c r="G16" s="32">
        <v>140</v>
      </c>
      <c r="H16" s="32">
        <v>140</v>
      </c>
      <c r="I16" s="32">
        <v>140</v>
      </c>
      <c r="J16" s="32">
        <v>140</v>
      </c>
      <c r="K16" s="32">
        <v>140</v>
      </c>
      <c r="L16" s="32">
        <v>140</v>
      </c>
      <c r="M16" s="32">
        <v>140</v>
      </c>
      <c r="N16" s="32">
        <v>140</v>
      </c>
      <c r="O16" s="32">
        <v>140</v>
      </c>
      <c r="P16" s="33">
        <f t="shared" si="0"/>
        <v>1680</v>
      </c>
    </row>
    <row r="17" spans="1:16" x14ac:dyDescent="0.3">
      <c r="A17" s="30">
        <v>15</v>
      </c>
      <c r="B17" s="31" t="str">
        <f>IFERROR(INDEX(Categorias!$B$4:$B$300,MATCH($A17,Categorias!$A$4:$A$300,0)),"CÓDIGO INVÁLIDO")</f>
        <v>Comunicação</v>
      </c>
      <c r="C17" s="31" t="str">
        <f>IFERROR(INDEX(Categorias!$C$4:$C$300,MATCH($A17,Categorias!$A$4:$A$300,0)),"CÓDIGO INVÁLIDO")</f>
        <v>Celular</v>
      </c>
      <c r="D17" s="32">
        <v>45</v>
      </c>
      <c r="E17" s="32">
        <v>45</v>
      </c>
      <c r="F17" s="32">
        <v>45</v>
      </c>
      <c r="G17" s="32">
        <v>45</v>
      </c>
      <c r="H17" s="32">
        <v>45</v>
      </c>
      <c r="I17" s="32">
        <v>45</v>
      </c>
      <c r="J17" s="32">
        <v>45</v>
      </c>
      <c r="K17" s="32">
        <v>45</v>
      </c>
      <c r="L17" s="32">
        <v>45</v>
      </c>
      <c r="M17" s="32">
        <v>45</v>
      </c>
      <c r="N17" s="32">
        <v>45</v>
      </c>
      <c r="O17" s="32">
        <v>45</v>
      </c>
      <c r="P17" s="33">
        <f t="shared" si="0"/>
        <v>540</v>
      </c>
    </row>
    <row r="18" spans="1:16" x14ac:dyDescent="0.3">
      <c r="A18" s="30">
        <v>16</v>
      </c>
      <c r="B18" s="31" t="str">
        <f>IFERROR(INDEX(Categorias!$B$4:$B$300,MATCH($A18,Categorias!$A$4:$A$300,0)),"CÓDIGO INVÁLIDO")</f>
        <v>Comunicação</v>
      </c>
      <c r="C18" s="31" t="str">
        <f>IFERROR(INDEX(Categorias!$C$4:$C$300,MATCH($A18,Categorias!$A$4:$A$300,0)),"CÓDIGO INVÁLIDO")</f>
        <v>Internet</v>
      </c>
      <c r="D18" s="32">
        <v>89</v>
      </c>
      <c r="E18" s="32">
        <v>89</v>
      </c>
      <c r="F18" s="32">
        <v>89</v>
      </c>
      <c r="G18" s="32">
        <v>89</v>
      </c>
      <c r="H18" s="32">
        <v>89</v>
      </c>
      <c r="I18" s="32">
        <v>89</v>
      </c>
      <c r="J18" s="32">
        <v>89</v>
      </c>
      <c r="K18" s="32">
        <v>89</v>
      </c>
      <c r="L18" s="32">
        <v>89</v>
      </c>
      <c r="M18" s="32">
        <v>89</v>
      </c>
      <c r="N18" s="32">
        <v>89</v>
      </c>
      <c r="O18" s="32">
        <v>89</v>
      </c>
      <c r="P18" s="33">
        <f t="shared" si="0"/>
        <v>1068</v>
      </c>
    </row>
    <row r="19" spans="1:16" x14ac:dyDescent="0.3">
      <c r="A19" s="30">
        <v>17</v>
      </c>
      <c r="B19" s="31" t="str">
        <f>IFERROR(INDEX(Categorias!$B$4:$B$300,MATCH($A19,Categorias!$A$4:$A$300,0)),"CÓDIGO INVÁLIDO")</f>
        <v>Comunicação</v>
      </c>
      <c r="C19" s="31" t="str">
        <f>IFERROR(INDEX(Categorias!$C$4:$C$300,MATCH($A19,Categorias!$A$4:$A$300,0)),"CÓDIGO INVÁLIDO")</f>
        <v>Streaming (outros)</v>
      </c>
      <c r="D19" s="32">
        <v>24</v>
      </c>
      <c r="E19" s="32">
        <v>24</v>
      </c>
      <c r="F19" s="32">
        <v>24</v>
      </c>
      <c r="G19" s="32">
        <v>24</v>
      </c>
      <c r="H19" s="32">
        <v>24</v>
      </c>
      <c r="I19" s="32">
        <v>24</v>
      </c>
      <c r="J19" s="32">
        <v>24</v>
      </c>
      <c r="K19" s="32">
        <v>24</v>
      </c>
      <c r="L19" s="32">
        <v>24</v>
      </c>
      <c r="M19" s="32">
        <v>24</v>
      </c>
      <c r="N19" s="32">
        <v>24</v>
      </c>
      <c r="O19" s="32">
        <v>24</v>
      </c>
      <c r="P19" s="33">
        <f t="shared" si="0"/>
        <v>288</v>
      </c>
    </row>
    <row r="20" spans="1:16" x14ac:dyDescent="0.3">
      <c r="A20" s="30">
        <v>18</v>
      </c>
      <c r="B20" s="31" t="str">
        <f>IFERROR(INDEX(Categorias!$B$4:$B$300,MATCH($A20,Categorias!$A$4:$A$300,0)),"CÓDIGO INVÁLIDO")</f>
        <v>Comunicação</v>
      </c>
      <c r="C20" s="31" t="str">
        <f>IFERROR(INDEX(Categorias!$C$4:$C$300,MATCH($A20,Categorias!$A$4:$A$300,0)),"CÓDIGO INVÁLIDO")</f>
        <v>Netflix</v>
      </c>
      <c r="D20" s="32">
        <v>21.9</v>
      </c>
      <c r="E20" s="32">
        <v>21.9</v>
      </c>
      <c r="F20" s="32">
        <v>21.9</v>
      </c>
      <c r="G20" s="32">
        <v>21.9</v>
      </c>
      <c r="H20" s="32">
        <v>21.9</v>
      </c>
      <c r="I20" s="32">
        <v>21.9</v>
      </c>
      <c r="J20" s="32">
        <v>21.9</v>
      </c>
      <c r="K20" s="32">
        <v>21.9</v>
      </c>
      <c r="L20" s="32">
        <v>21.9</v>
      </c>
      <c r="M20" s="32">
        <v>21.9</v>
      </c>
      <c r="N20" s="32">
        <v>21.9</v>
      </c>
      <c r="O20" s="32">
        <v>21.9</v>
      </c>
      <c r="P20" s="33">
        <f t="shared" si="0"/>
        <v>262.8</v>
      </c>
    </row>
    <row r="21" spans="1:16" x14ac:dyDescent="0.3">
      <c r="A21" s="30">
        <v>19</v>
      </c>
      <c r="B21" s="31" t="str">
        <f>IFERROR(INDEX(Categorias!$B$4:$B$300,MATCH($A21,Categorias!$A$4:$A$300,0)),"CÓDIGO INVÁLIDO")</f>
        <v>Comunicação</v>
      </c>
      <c r="C21" s="31" t="str">
        <f>IFERROR(INDEX(Categorias!$C$4:$C$300,MATCH($A21,Categorias!$A$4:$A$300,0)),"CÓDIGO INVÁLIDO")</f>
        <v>Amazon Prime</v>
      </c>
      <c r="D21" s="32">
        <v>10.9</v>
      </c>
      <c r="E21" s="32">
        <v>10.9</v>
      </c>
      <c r="F21" s="32">
        <v>10.9</v>
      </c>
      <c r="G21" s="32">
        <v>10.9</v>
      </c>
      <c r="H21" s="32">
        <v>10.9</v>
      </c>
      <c r="I21" s="32">
        <v>10.9</v>
      </c>
      <c r="J21" s="32">
        <v>10.9</v>
      </c>
      <c r="K21" s="32">
        <v>10.9</v>
      </c>
      <c r="L21" s="32">
        <v>10.9</v>
      </c>
      <c r="M21" s="32">
        <v>10.9</v>
      </c>
      <c r="N21" s="32">
        <v>10.9</v>
      </c>
      <c r="O21" s="32">
        <v>10.9</v>
      </c>
      <c r="P21" s="33">
        <f t="shared" si="0"/>
        <v>130.80000000000004</v>
      </c>
    </row>
    <row r="22" spans="1:16" x14ac:dyDescent="0.3">
      <c r="A22" s="30">
        <v>20</v>
      </c>
      <c r="B22" s="31" t="str">
        <f>IFERROR(INDEX(Categorias!$B$4:$B$300,MATCH($A22,Categorias!$A$4:$A$300,0)),"CÓDIGO INVÁLIDO")</f>
        <v>Comunicação</v>
      </c>
      <c r="C22" s="31" t="str">
        <f>IFERROR(INDEX(Categorias!$C$4:$C$300,MATCH($A22,Categorias!$A$4:$A$300,0)),"CÓDIGO INVÁLIDO")</f>
        <v>Max</v>
      </c>
      <c r="D22" s="32">
        <v>34.5</v>
      </c>
      <c r="E22" s="32">
        <v>34.5</v>
      </c>
      <c r="F22" s="32">
        <v>34.5</v>
      </c>
      <c r="G22" s="32">
        <v>34.5</v>
      </c>
      <c r="H22" s="32">
        <v>34.5</v>
      </c>
      <c r="I22" s="32">
        <v>34.5</v>
      </c>
      <c r="J22" s="32">
        <v>34.5</v>
      </c>
      <c r="K22" s="32">
        <v>34.5</v>
      </c>
      <c r="L22" s="32">
        <v>34.5</v>
      </c>
      <c r="M22" s="32">
        <v>34.5</v>
      </c>
      <c r="N22" s="32">
        <v>34.5</v>
      </c>
      <c r="O22" s="32">
        <v>34.5</v>
      </c>
      <c r="P22" s="33">
        <f t="shared" si="0"/>
        <v>414</v>
      </c>
    </row>
    <row r="23" spans="1:16" x14ac:dyDescent="0.3">
      <c r="A23" s="30">
        <v>21</v>
      </c>
      <c r="B23" s="31" t="str">
        <f>IFERROR(INDEX(Categorias!$B$4:$B$300,MATCH($A23,Categorias!$A$4:$A$300,0)),"CÓDIGO INVÁLIDO")</f>
        <v>Saúde e Cuidados</v>
      </c>
      <c r="C23" s="31" t="str">
        <f>IFERROR(INDEX(Categorias!$C$4:$C$300,MATCH($A23,Categorias!$A$4:$A$300,0)),"CÓDIGO INVÁLIDO")</f>
        <v>Academia</v>
      </c>
      <c r="D23" s="32">
        <v>120</v>
      </c>
      <c r="E23" s="32">
        <v>120</v>
      </c>
      <c r="F23" s="32">
        <v>120</v>
      </c>
      <c r="G23" s="32">
        <v>120</v>
      </c>
      <c r="H23" s="32">
        <v>120</v>
      </c>
      <c r="I23" s="32">
        <v>120</v>
      </c>
      <c r="J23" s="32">
        <v>120</v>
      </c>
      <c r="K23" s="32">
        <v>120</v>
      </c>
      <c r="L23" s="32">
        <v>120</v>
      </c>
      <c r="M23" s="32">
        <v>120</v>
      </c>
      <c r="N23" s="32">
        <v>120</v>
      </c>
      <c r="O23" s="32">
        <v>120</v>
      </c>
      <c r="P23" s="33">
        <f t="shared" si="0"/>
        <v>1440</v>
      </c>
    </row>
    <row r="24" spans="1:16" x14ac:dyDescent="0.3">
      <c r="A24" s="30">
        <v>22</v>
      </c>
      <c r="B24" s="31" t="str">
        <f>IFERROR(INDEX(Categorias!$B$4:$B$300,MATCH($A24,Categorias!$A$4:$A$300,0)),"CÓDIGO INVÁLIDO")</f>
        <v>Saúde e Cuidados</v>
      </c>
      <c r="C24" s="31" t="str">
        <f>IFERROR(INDEX(Categorias!$C$4:$C$300,MATCH($A24,Categorias!$A$4:$A$300,0)),"CÓDIGO INVÁLIDO")</f>
        <v>Emergência Médica</v>
      </c>
      <c r="D24" s="32">
        <v>120</v>
      </c>
      <c r="E24" s="32">
        <v>120</v>
      </c>
      <c r="F24" s="32">
        <v>120</v>
      </c>
      <c r="G24" s="32">
        <v>120</v>
      </c>
      <c r="H24" s="32">
        <v>120</v>
      </c>
      <c r="I24" s="32">
        <v>120</v>
      </c>
      <c r="J24" s="32">
        <v>120</v>
      </c>
      <c r="K24" s="32">
        <v>120</v>
      </c>
      <c r="L24" s="32">
        <v>120</v>
      </c>
      <c r="M24" s="32">
        <v>120</v>
      </c>
      <c r="N24" s="32">
        <v>120</v>
      </c>
      <c r="O24" s="32">
        <v>120</v>
      </c>
      <c r="P24" s="33">
        <f t="shared" si="0"/>
        <v>1440</v>
      </c>
    </row>
    <row r="25" spans="1:16" x14ac:dyDescent="0.3">
      <c r="A25" s="30">
        <v>23</v>
      </c>
      <c r="B25" s="31" t="str">
        <f>IFERROR(INDEX(Categorias!$B$4:$B$300,MATCH($A25,Categorias!$A$4:$A$300,0)),"CÓDIGO INVÁLIDO")</f>
        <v>Saúde e Cuidados</v>
      </c>
      <c r="C25" s="31" t="str">
        <f>IFERROR(INDEX(Categorias!$C$4:$C$300,MATCH($A25,Categorias!$A$4:$A$300,0)),"CÓDIGO INVÁLIDO")</f>
        <v>Emergência Dentista</v>
      </c>
      <c r="D25" s="32">
        <v>100</v>
      </c>
      <c r="E25" s="32">
        <v>100</v>
      </c>
      <c r="F25" s="32">
        <v>100</v>
      </c>
      <c r="G25" s="32">
        <v>100</v>
      </c>
      <c r="H25" s="32">
        <v>100</v>
      </c>
      <c r="I25" s="32">
        <v>100</v>
      </c>
      <c r="J25" s="32">
        <v>100</v>
      </c>
      <c r="K25" s="32">
        <v>100</v>
      </c>
      <c r="L25" s="32">
        <v>100</v>
      </c>
      <c r="M25" s="32">
        <v>100</v>
      </c>
      <c r="N25" s="32">
        <v>100</v>
      </c>
      <c r="O25" s="32">
        <v>100</v>
      </c>
      <c r="P25" s="33">
        <f t="shared" si="0"/>
        <v>1200</v>
      </c>
    </row>
    <row r="26" spans="1:16" x14ac:dyDescent="0.3">
      <c r="A26" s="30">
        <v>24</v>
      </c>
      <c r="B26" s="31" t="str">
        <f>IFERROR(INDEX(Categorias!$B$4:$B$300,MATCH($A26,Categorias!$A$4:$A$300,0)),"CÓDIGO INVÁLIDO")</f>
        <v>Saúde e Cuidados</v>
      </c>
      <c r="C26" s="31" t="str">
        <f>IFERROR(INDEX(Categorias!$C$4:$C$300,MATCH($A26,Categorias!$A$4:$A$300,0)),"CÓDIGO INVÁLIDO")</f>
        <v>Cosméticos</v>
      </c>
      <c r="D26" s="32">
        <v>100</v>
      </c>
      <c r="E26" s="32">
        <v>100</v>
      </c>
      <c r="F26" s="32">
        <v>100</v>
      </c>
      <c r="G26" s="32">
        <v>100</v>
      </c>
      <c r="H26" s="32">
        <v>100</v>
      </c>
      <c r="I26" s="32">
        <v>100</v>
      </c>
      <c r="J26" s="32">
        <v>100</v>
      </c>
      <c r="K26" s="32">
        <v>100</v>
      </c>
      <c r="L26" s="32">
        <v>100</v>
      </c>
      <c r="M26" s="32">
        <v>100</v>
      </c>
      <c r="N26" s="32">
        <v>100</v>
      </c>
      <c r="O26" s="32">
        <v>100</v>
      </c>
      <c r="P26" s="33">
        <f t="shared" si="0"/>
        <v>1200</v>
      </c>
    </row>
    <row r="27" spans="1:16" x14ac:dyDescent="0.3">
      <c r="A27" s="30">
        <v>25</v>
      </c>
      <c r="B27" s="31" t="str">
        <f>IFERROR(INDEX(Categorias!$B$4:$B$300,MATCH($A27,Categorias!$A$4:$A$300,0)),"CÓDIGO INVÁLIDO")</f>
        <v>Saúde e Cuidados</v>
      </c>
      <c r="C27" s="31" t="str">
        <f>IFERROR(INDEX(Categorias!$C$4:$C$300,MATCH($A27,Categorias!$A$4:$A$300,0)),"CÓDIGO INVÁLIDO")</f>
        <v>Dentista</v>
      </c>
      <c r="D27" s="32">
        <v>150</v>
      </c>
      <c r="E27" s="32">
        <v>150</v>
      </c>
      <c r="F27" s="32">
        <v>150</v>
      </c>
      <c r="G27" s="32">
        <v>150</v>
      </c>
      <c r="H27" s="32">
        <v>150</v>
      </c>
      <c r="I27" s="32">
        <v>150</v>
      </c>
      <c r="J27" s="32">
        <v>150</v>
      </c>
      <c r="K27" s="32">
        <v>150</v>
      </c>
      <c r="L27" s="32">
        <v>150</v>
      </c>
      <c r="M27" s="32">
        <v>150</v>
      </c>
      <c r="N27" s="32">
        <v>150</v>
      </c>
      <c r="O27" s="32">
        <v>150</v>
      </c>
      <c r="P27" s="33">
        <f t="shared" si="0"/>
        <v>1800</v>
      </c>
    </row>
    <row r="28" spans="1:16" x14ac:dyDescent="0.3">
      <c r="A28" s="30">
        <v>26</v>
      </c>
      <c r="B28" s="31" t="str">
        <f>IFERROR(INDEX(Categorias!$B$4:$B$300,MATCH($A28,Categorias!$A$4:$A$300,0)),"CÓDIGO INVÁLIDO")</f>
        <v>Saúde e Cuidados</v>
      </c>
      <c r="C28" s="31" t="str">
        <f>IFERROR(INDEX(Categorias!$C$4:$C$300,MATCH($A28,Categorias!$A$4:$A$300,0)),"CÓDIGO INVÁLIDO")</f>
        <v>Exames Médicos</v>
      </c>
      <c r="D28" s="32">
        <v>0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3">
        <f t="shared" si="0"/>
        <v>0</v>
      </c>
    </row>
    <row r="29" spans="1:16" x14ac:dyDescent="0.3">
      <c r="A29" s="30">
        <v>27</v>
      </c>
      <c r="B29" s="31" t="str">
        <f>IFERROR(INDEX(Categorias!$B$4:$B$300,MATCH($A29,Categorias!$A$4:$A$300,0)),"CÓDIGO INVÁLIDO")</f>
        <v>Saúde e Cuidados</v>
      </c>
      <c r="C29" s="31" t="str">
        <f>IFERROR(INDEX(Categorias!$C$4:$C$300,MATCH($A29,Categorias!$A$4:$A$300,0)),"CÓDIGO INVÁLIDO")</f>
        <v>Farmácia</v>
      </c>
      <c r="D29" s="32">
        <v>89</v>
      </c>
      <c r="E29" s="32">
        <v>89</v>
      </c>
      <c r="F29" s="32">
        <v>89</v>
      </c>
      <c r="G29" s="32">
        <v>89</v>
      </c>
      <c r="H29" s="32">
        <v>89</v>
      </c>
      <c r="I29" s="32">
        <v>89</v>
      </c>
      <c r="J29" s="32">
        <v>89</v>
      </c>
      <c r="K29" s="32">
        <v>89</v>
      </c>
      <c r="L29" s="32">
        <v>89</v>
      </c>
      <c r="M29" s="32">
        <v>89</v>
      </c>
      <c r="N29" s="32">
        <v>89</v>
      </c>
      <c r="O29" s="32">
        <v>89</v>
      </c>
      <c r="P29" s="33">
        <f t="shared" si="0"/>
        <v>1068</v>
      </c>
    </row>
    <row r="30" spans="1:16" x14ac:dyDescent="0.3">
      <c r="A30" s="30">
        <v>28</v>
      </c>
      <c r="B30" s="31" t="str">
        <f>IFERROR(INDEX(Categorias!$B$4:$B$300,MATCH($A30,Categorias!$A$4:$A$300,0)),"CÓDIGO INVÁLIDO")</f>
        <v>Saúde e Cuidados</v>
      </c>
      <c r="C30" s="31" t="str">
        <f>IFERROR(INDEX(Categorias!$C$4:$C$300,MATCH($A30,Categorias!$A$4:$A$300,0)),"CÓDIGO INVÁLIDO")</f>
        <v>Médico Particular</v>
      </c>
      <c r="D30" s="32">
        <v>0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3">
        <f t="shared" si="0"/>
        <v>0</v>
      </c>
    </row>
    <row r="31" spans="1:16" x14ac:dyDescent="0.3">
      <c r="A31" s="30">
        <v>29</v>
      </c>
      <c r="B31" s="31" t="str">
        <f>IFERROR(INDEX(Categorias!$B$4:$B$300,MATCH($A31,Categorias!$A$4:$A$300,0)),"CÓDIGO INVÁLIDO")</f>
        <v>Saúde e Cuidados</v>
      </c>
      <c r="C31" s="31" t="str">
        <f>IFERROR(INDEX(Categorias!$C$4:$C$300,MATCH($A31,Categorias!$A$4:$A$300,0)),"CÓDIGO INVÁLIDO")</f>
        <v>Suplementos</v>
      </c>
      <c r="D31" s="32">
        <v>0</v>
      </c>
      <c r="E31" s="32"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32">
        <v>0</v>
      </c>
      <c r="P31" s="33">
        <f t="shared" si="0"/>
        <v>0</v>
      </c>
    </row>
    <row r="32" spans="1:16" x14ac:dyDescent="0.3">
      <c r="A32" s="30">
        <v>30</v>
      </c>
      <c r="B32" s="31" t="str">
        <f>IFERROR(INDEX(Categorias!$B$4:$B$300,MATCH($A32,Categorias!$A$4:$A$300,0)),"CÓDIGO INVÁLIDO")</f>
        <v>Saúde e Cuidados</v>
      </c>
      <c r="C32" s="31" t="str">
        <f>IFERROR(INDEX(Categorias!$C$4:$C$300,MATCH($A32,Categorias!$A$4:$A$300,0)),"CÓDIGO INVÁLIDO")</f>
        <v>Outros Saúde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3">
        <f t="shared" si="0"/>
        <v>0</v>
      </c>
    </row>
    <row r="33" spans="1:16" x14ac:dyDescent="0.3">
      <c r="A33" s="30">
        <v>31</v>
      </c>
      <c r="B33" s="31" t="str">
        <f>IFERROR(INDEX(Categorias!$B$4:$B$300,MATCH($A33,Categorias!$A$4:$A$300,0)),"CÓDIGO INVÁLIDO")</f>
        <v>Vestuário</v>
      </c>
      <c r="C33" s="31" t="str">
        <f>IFERROR(INDEX(Categorias!$C$4:$C$300,MATCH($A33,Categorias!$A$4:$A$300,0)),"CÓDIGO INVÁLIDO")</f>
        <v>Roupas</v>
      </c>
      <c r="D33" s="32">
        <v>39</v>
      </c>
      <c r="E33" s="32">
        <v>39</v>
      </c>
      <c r="F33" s="32">
        <v>39</v>
      </c>
      <c r="G33" s="32">
        <v>39</v>
      </c>
      <c r="H33" s="32">
        <v>39</v>
      </c>
      <c r="I33" s="32">
        <v>39</v>
      </c>
      <c r="J33" s="32">
        <v>39</v>
      </c>
      <c r="K33" s="32">
        <v>39</v>
      </c>
      <c r="L33" s="32">
        <v>39</v>
      </c>
      <c r="M33" s="32">
        <v>39</v>
      </c>
      <c r="N33" s="32">
        <v>39</v>
      </c>
      <c r="O33" s="32">
        <v>39</v>
      </c>
      <c r="P33" s="33">
        <f t="shared" si="0"/>
        <v>468</v>
      </c>
    </row>
    <row r="34" spans="1:16" x14ac:dyDescent="0.3">
      <c r="A34" s="30">
        <v>32</v>
      </c>
      <c r="B34" s="31" t="str">
        <f>IFERROR(INDEX(Categorias!$B$4:$B$300,MATCH($A34,Categorias!$A$4:$A$300,0)),"CÓDIGO INVÁLIDO")</f>
        <v>Vestuário</v>
      </c>
      <c r="C34" s="31" t="str">
        <f>IFERROR(INDEX(Categorias!$C$4:$C$300,MATCH($A34,Categorias!$A$4:$A$300,0)),"CÓDIGO INVÁLIDO")</f>
        <v>Sapatos</v>
      </c>
      <c r="D34" s="32">
        <v>0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3">
        <f t="shared" si="0"/>
        <v>0</v>
      </c>
    </row>
    <row r="35" spans="1:16" x14ac:dyDescent="0.3">
      <c r="A35" s="30">
        <v>33</v>
      </c>
      <c r="B35" s="31" t="str">
        <f>IFERROR(INDEX(Categorias!$B$4:$B$300,MATCH($A35,Categorias!$A$4:$A$300,0)),"CÓDIGO INVÁLIDO")</f>
        <v>Vestuário</v>
      </c>
      <c r="C35" s="31" t="str">
        <f>IFERROR(INDEX(Categorias!$C$4:$C$300,MATCH($A35,Categorias!$A$4:$A$300,0)),"CÓDIGO INVÁLIDO")</f>
        <v>Outros Vestuário</v>
      </c>
      <c r="D35" s="32">
        <v>0</v>
      </c>
      <c r="E35" s="32">
        <v>0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33">
        <f t="shared" si="0"/>
        <v>0</v>
      </c>
    </row>
    <row r="36" spans="1:16" x14ac:dyDescent="0.3">
      <c r="A36" s="30">
        <v>40</v>
      </c>
      <c r="B36" s="31" t="str">
        <f>IFERROR(INDEX(Categorias!$B$4:$B$300,MATCH($A36,Categorias!$A$4:$A$300,0)),"CÓDIGO INVÁLIDO")</f>
        <v>Transporte</v>
      </c>
      <c r="C36" s="31" t="str">
        <f>IFERROR(INDEX(Categorias!$C$4:$C$300,MATCH($A36,Categorias!$A$4:$A$300,0)),"CÓDIGO INVÁLIDO")</f>
        <v>Aplicativos (Uber / 99)</v>
      </c>
      <c r="D36" s="32">
        <v>126</v>
      </c>
      <c r="E36" s="32">
        <v>126</v>
      </c>
      <c r="F36" s="32">
        <v>126</v>
      </c>
      <c r="G36" s="32">
        <v>126</v>
      </c>
      <c r="H36" s="32">
        <v>126</v>
      </c>
      <c r="I36" s="32">
        <v>126</v>
      </c>
      <c r="J36" s="32">
        <v>126</v>
      </c>
      <c r="K36" s="32">
        <v>126</v>
      </c>
      <c r="L36" s="32">
        <v>126</v>
      </c>
      <c r="M36" s="32">
        <v>126</v>
      </c>
      <c r="N36" s="32">
        <v>126</v>
      </c>
      <c r="O36" s="32">
        <v>126</v>
      </c>
      <c r="P36" s="33">
        <f t="shared" si="0"/>
        <v>1512</v>
      </c>
    </row>
    <row r="37" spans="1:16" x14ac:dyDescent="0.3">
      <c r="A37" s="30">
        <v>42</v>
      </c>
      <c r="B37" s="31" t="str">
        <f>IFERROR(INDEX(Categorias!$B$4:$B$300,MATCH($A37,Categorias!$A$4:$A$300,0)),"CÓDIGO INVÁLIDO")</f>
        <v>Transporte</v>
      </c>
      <c r="C37" s="31" t="str">
        <f>IFERROR(INDEX(Categorias!$C$4:$C$300,MATCH($A37,Categorias!$A$4:$A$300,0)),"CÓDIGO INVÁLIDO")</f>
        <v>Transporte Público</v>
      </c>
      <c r="D37" s="32">
        <v>440</v>
      </c>
      <c r="E37" s="32">
        <v>440</v>
      </c>
      <c r="F37" s="32">
        <v>440</v>
      </c>
      <c r="G37" s="32">
        <v>440</v>
      </c>
      <c r="H37" s="32">
        <v>440</v>
      </c>
      <c r="I37" s="32">
        <v>440</v>
      </c>
      <c r="J37" s="32">
        <v>440</v>
      </c>
      <c r="K37" s="32">
        <v>440</v>
      </c>
      <c r="L37" s="32">
        <v>440</v>
      </c>
      <c r="M37" s="32">
        <v>440</v>
      </c>
      <c r="N37" s="32">
        <v>440</v>
      </c>
      <c r="O37" s="32">
        <v>440</v>
      </c>
      <c r="P37" s="33">
        <f t="shared" ref="P37:P68" si="1">SUM(D37:O37)</f>
        <v>5280</v>
      </c>
    </row>
    <row r="38" spans="1:16" x14ac:dyDescent="0.3">
      <c r="A38" s="30">
        <v>43</v>
      </c>
      <c r="B38" s="31" t="str">
        <f>IFERROR(INDEX(Categorias!$B$4:$B$300,MATCH($A38,Categorias!$A$4:$A$300,0)),"CÓDIGO INVÁLIDO")</f>
        <v>Transporte</v>
      </c>
      <c r="C38" s="31" t="str">
        <f>IFERROR(INDEX(Categorias!$C$4:$C$300,MATCH($A38,Categorias!$A$4:$A$300,0)),"CÓDIGO INVÁLIDO")</f>
        <v>Transporte Trabalho (Jhenis)</v>
      </c>
      <c r="D38" s="32">
        <v>240</v>
      </c>
      <c r="E38" s="32">
        <v>240</v>
      </c>
      <c r="F38" s="32">
        <v>240</v>
      </c>
      <c r="G38" s="32">
        <v>240</v>
      </c>
      <c r="H38" s="32">
        <v>240</v>
      </c>
      <c r="I38" s="32">
        <v>240</v>
      </c>
      <c r="J38" s="32">
        <v>240</v>
      </c>
      <c r="K38" s="32">
        <v>240</v>
      </c>
      <c r="L38" s="32">
        <v>240</v>
      </c>
      <c r="M38" s="32">
        <v>240</v>
      </c>
      <c r="N38" s="32">
        <v>240</v>
      </c>
      <c r="O38" s="32">
        <v>240</v>
      </c>
      <c r="P38" s="33">
        <f t="shared" si="1"/>
        <v>2880</v>
      </c>
    </row>
    <row r="39" spans="1:16" x14ac:dyDescent="0.3">
      <c r="A39" s="30">
        <v>44</v>
      </c>
      <c r="B39" s="31" t="str">
        <f>IFERROR(INDEX(Categorias!$B$4:$B$300,MATCH($A39,Categorias!$A$4:$A$300,0)),"CÓDIGO INVÁLIDO")</f>
        <v>Transporte</v>
      </c>
      <c r="C39" s="31" t="str">
        <f>IFERROR(INDEX(Categorias!$C$4:$C$300,MATCH($A39,Categorias!$A$4:$A$300,0)),"CÓDIGO INVÁLIDO")</f>
        <v>Transporte Trabalho (Matheus)</v>
      </c>
      <c r="D39" s="32">
        <v>110</v>
      </c>
      <c r="E39" s="32">
        <v>110</v>
      </c>
      <c r="F39" s="32">
        <v>110</v>
      </c>
      <c r="G39" s="32">
        <v>110</v>
      </c>
      <c r="H39" s="32">
        <v>110</v>
      </c>
      <c r="I39" s="32">
        <v>110</v>
      </c>
      <c r="J39" s="32">
        <v>110</v>
      </c>
      <c r="K39" s="32">
        <v>110</v>
      </c>
      <c r="L39" s="32">
        <v>110</v>
      </c>
      <c r="M39" s="32">
        <v>110</v>
      </c>
      <c r="N39" s="32">
        <v>110</v>
      </c>
      <c r="O39" s="32">
        <v>110</v>
      </c>
      <c r="P39" s="33">
        <f t="shared" si="1"/>
        <v>1320</v>
      </c>
    </row>
    <row r="40" spans="1:16" x14ac:dyDescent="0.3">
      <c r="A40" s="30">
        <v>45</v>
      </c>
      <c r="B40" s="31" t="str">
        <f>IFERROR(INDEX(Categorias!$B$4:$B$300,MATCH($A40,Categorias!$A$4:$A$300,0)),"CÓDIGO INVÁLIDO")</f>
        <v>Transporte</v>
      </c>
      <c r="C40" s="31" t="str">
        <f>IFERROR(INDEX(Categorias!$C$4:$C$300,MATCH($A40,Categorias!$A$4:$A$300,0)),"CÓDIGO INVÁLIDO")</f>
        <v>Caixa Carro (Jhenis)</v>
      </c>
      <c r="D40" s="32">
        <v>0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3">
        <f t="shared" si="1"/>
        <v>0</v>
      </c>
    </row>
    <row r="41" spans="1:16" x14ac:dyDescent="0.3">
      <c r="A41" s="30">
        <v>46</v>
      </c>
      <c r="B41" s="31" t="str">
        <f>IFERROR(INDEX(Categorias!$B$4:$B$300,MATCH($A41,Categorias!$A$4:$A$300,0)),"CÓDIGO INVÁLIDO")</f>
        <v>Transporte</v>
      </c>
      <c r="C41" s="31" t="str">
        <f>IFERROR(INDEX(Categorias!$C$4:$C$300,MATCH($A41,Categorias!$A$4:$A$300,0)),"CÓDIGO INVÁLIDO")</f>
        <v>Caixa Carro (Matheus)</v>
      </c>
      <c r="D41" s="32">
        <v>0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2">
        <v>0</v>
      </c>
      <c r="N41" s="32">
        <v>0</v>
      </c>
      <c r="O41" s="32">
        <v>0</v>
      </c>
      <c r="P41" s="33">
        <f t="shared" si="1"/>
        <v>0</v>
      </c>
    </row>
    <row r="42" spans="1:16" x14ac:dyDescent="0.3">
      <c r="A42" s="30">
        <v>51</v>
      </c>
      <c r="B42" s="31" t="str">
        <f>IFERROR(INDEX(Categorias!$B$4:$B$300,MATCH($A42,Categorias!$A$4:$A$300,0)),"CÓDIGO INVÁLIDO")</f>
        <v>Transporte</v>
      </c>
      <c r="C42" s="31" t="str">
        <f>IFERROR(INDEX(Categorias!$C$4:$C$300,MATCH($A42,Categorias!$A$4:$A$300,0)),"CÓDIGO INVÁLIDO")</f>
        <v>Outros Transporte</v>
      </c>
      <c r="D42" s="32">
        <v>0</v>
      </c>
      <c r="E42" s="32">
        <v>0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3">
        <f t="shared" si="1"/>
        <v>0</v>
      </c>
    </row>
    <row r="43" spans="1:16" x14ac:dyDescent="0.3">
      <c r="A43" s="30">
        <v>52</v>
      </c>
      <c r="B43" s="31" t="str">
        <f>IFERROR(INDEX(Categorias!$B$4:$B$300,MATCH($A43,Categorias!$A$4:$A$300,0)),"CÓDIGO INVÁLIDO")</f>
        <v>Educação</v>
      </c>
      <c r="C43" s="31" t="str">
        <f>IFERROR(INDEX(Categorias!$C$4:$C$300,MATCH($A43,Categorias!$A$4:$A$300,0)),"CÓDIGO INVÁLIDO")</f>
        <v>Mensalidades</v>
      </c>
      <c r="D43" s="32">
        <v>0</v>
      </c>
      <c r="E43" s="32">
        <v>0</v>
      </c>
      <c r="F43" s="32">
        <v>0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2">
        <v>0</v>
      </c>
      <c r="P43" s="33">
        <f t="shared" si="1"/>
        <v>0</v>
      </c>
    </row>
    <row r="44" spans="1:16" x14ac:dyDescent="0.3">
      <c r="A44" s="30">
        <v>53</v>
      </c>
      <c r="B44" s="31" t="str">
        <f>IFERROR(INDEX(Categorias!$B$4:$B$300,MATCH($A44,Categorias!$A$4:$A$300,0)),"CÓDIGO INVÁLIDO")</f>
        <v>Educação</v>
      </c>
      <c r="C44" s="31" t="str">
        <f>IFERROR(INDEX(Categorias!$C$4:$C$300,MATCH($A44,Categorias!$A$4:$A$300,0)),"CÓDIGO INVÁLIDO")</f>
        <v>Idiomas</v>
      </c>
      <c r="D44" s="32">
        <v>0</v>
      </c>
      <c r="E44" s="32">
        <v>0</v>
      </c>
      <c r="F44" s="32">
        <v>0</v>
      </c>
      <c r="G44" s="32">
        <v>0</v>
      </c>
      <c r="H44" s="32">
        <v>0</v>
      </c>
      <c r="I44" s="32">
        <v>0</v>
      </c>
      <c r="J44" s="32">
        <v>0</v>
      </c>
      <c r="K44" s="32">
        <v>0</v>
      </c>
      <c r="L44" s="32">
        <v>0</v>
      </c>
      <c r="M44" s="32">
        <v>0</v>
      </c>
      <c r="N44" s="32">
        <v>0</v>
      </c>
      <c r="O44" s="32">
        <v>0</v>
      </c>
      <c r="P44" s="33">
        <f t="shared" si="1"/>
        <v>0</v>
      </c>
    </row>
    <row r="45" spans="1:16" x14ac:dyDescent="0.3">
      <c r="A45" s="30">
        <v>54</v>
      </c>
      <c r="B45" s="31" t="str">
        <f>IFERROR(INDEX(Categorias!$B$4:$B$300,MATCH($A45,Categorias!$A$4:$A$300,0)),"CÓDIGO INVÁLIDO")</f>
        <v>Educação</v>
      </c>
      <c r="C45" s="31" t="str">
        <f>IFERROR(INDEX(Categorias!$C$4:$C$300,MATCH($A45,Categorias!$A$4:$A$300,0)),"CÓDIGO INVÁLIDO")</f>
        <v>CNH (Matheus)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0</v>
      </c>
      <c r="P45" s="33">
        <f t="shared" si="1"/>
        <v>0</v>
      </c>
    </row>
    <row r="46" spans="1:16" x14ac:dyDescent="0.3">
      <c r="A46" s="30">
        <v>55</v>
      </c>
      <c r="B46" s="31" t="str">
        <f>IFERROR(INDEX(Categorias!$B$4:$B$300,MATCH($A46,Categorias!$A$4:$A$300,0)),"CÓDIGO INVÁLIDO")</f>
        <v>Educação</v>
      </c>
      <c r="C46" s="31" t="str">
        <f>IFERROR(INDEX(Categorias!$C$4:$C$300,MATCH($A46,Categorias!$A$4:$A$300,0)),"CÓDIGO INVÁLIDO")</f>
        <v>Cursos</v>
      </c>
      <c r="D46" s="32">
        <v>140</v>
      </c>
      <c r="E46" s="32">
        <v>140</v>
      </c>
      <c r="F46" s="32">
        <v>140</v>
      </c>
      <c r="G46" s="32">
        <v>140</v>
      </c>
      <c r="H46" s="32">
        <v>140</v>
      </c>
      <c r="I46" s="32">
        <v>140</v>
      </c>
      <c r="J46" s="32">
        <v>140</v>
      </c>
      <c r="K46" s="32">
        <v>140</v>
      </c>
      <c r="L46" s="32">
        <v>140</v>
      </c>
      <c r="M46" s="32">
        <v>140</v>
      </c>
      <c r="N46" s="32">
        <v>140</v>
      </c>
      <c r="O46" s="32">
        <v>140</v>
      </c>
      <c r="P46" s="33">
        <f t="shared" si="1"/>
        <v>1680</v>
      </c>
    </row>
    <row r="47" spans="1:16" x14ac:dyDescent="0.3">
      <c r="A47" s="30">
        <v>56</v>
      </c>
      <c r="B47" s="31" t="str">
        <f>IFERROR(INDEX(Categorias!$B$4:$B$300,MATCH($A47,Categorias!$A$4:$A$300,0)),"CÓDIGO INVÁLIDO")</f>
        <v>Educação</v>
      </c>
      <c r="C47" s="31" t="str">
        <f>IFERROR(INDEX(Categorias!$C$4:$C$300,MATCH($A47,Categorias!$A$4:$A$300,0)),"CÓDIGO INVÁLIDO")</f>
        <v>Livros</v>
      </c>
      <c r="D47" s="32">
        <v>0</v>
      </c>
      <c r="E47" s="32">
        <v>0</v>
      </c>
      <c r="F47" s="32">
        <v>0</v>
      </c>
      <c r="G47" s="32">
        <v>0</v>
      </c>
      <c r="H47" s="32">
        <v>0</v>
      </c>
      <c r="I47" s="32">
        <v>0</v>
      </c>
      <c r="J47" s="32">
        <v>0</v>
      </c>
      <c r="K47" s="32">
        <v>0</v>
      </c>
      <c r="L47" s="32">
        <v>0</v>
      </c>
      <c r="M47" s="32">
        <v>0</v>
      </c>
      <c r="N47" s="32">
        <v>0</v>
      </c>
      <c r="O47" s="32">
        <v>0</v>
      </c>
      <c r="P47" s="33">
        <f t="shared" si="1"/>
        <v>0</v>
      </c>
    </row>
    <row r="48" spans="1:16" x14ac:dyDescent="0.3">
      <c r="A48" s="30">
        <v>57</v>
      </c>
      <c r="B48" s="31" t="str">
        <f>IFERROR(INDEX(Categorias!$B$4:$B$300,MATCH($A48,Categorias!$A$4:$A$300,0)),"CÓDIGO INVÁLIDO")</f>
        <v>Educação</v>
      </c>
      <c r="C48" s="31" t="str">
        <f>IFERROR(INDEX(Categorias!$C$4:$C$300,MATCH($A48,Categorias!$A$4:$A$300,0)),"CÓDIGO INVÁLIDO")</f>
        <v>Faculdade (Jhenis)</v>
      </c>
      <c r="D48" s="32">
        <v>0</v>
      </c>
      <c r="E48" s="32">
        <v>0</v>
      </c>
      <c r="F48" s="32">
        <v>0</v>
      </c>
      <c r="G48" s="32">
        <v>0</v>
      </c>
      <c r="H48" s="32">
        <v>0</v>
      </c>
      <c r="I48" s="32">
        <v>0</v>
      </c>
      <c r="J48" s="32">
        <v>0</v>
      </c>
      <c r="K48" s="32">
        <v>0</v>
      </c>
      <c r="L48" s="32">
        <v>0</v>
      </c>
      <c r="M48" s="32">
        <v>0</v>
      </c>
      <c r="N48" s="32">
        <v>0</v>
      </c>
      <c r="O48" s="32">
        <v>0</v>
      </c>
      <c r="P48" s="33">
        <f t="shared" si="1"/>
        <v>0</v>
      </c>
    </row>
    <row r="49" spans="1:16" x14ac:dyDescent="0.3">
      <c r="A49" s="30">
        <v>58</v>
      </c>
      <c r="B49" s="31" t="str">
        <f>IFERROR(INDEX(Categorias!$B$4:$B$300,MATCH($A49,Categorias!$A$4:$A$300,0)),"CÓDIGO INVÁLIDO")</f>
        <v>Educação</v>
      </c>
      <c r="C49" s="31" t="str">
        <f>IFERROR(INDEX(Categorias!$C$4:$C$300,MATCH($A49,Categorias!$A$4:$A$300,0)),"CÓDIGO INVÁLIDO")</f>
        <v>Outros Educação</v>
      </c>
      <c r="D49" s="32">
        <v>0</v>
      </c>
      <c r="E49" s="32">
        <v>0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0</v>
      </c>
      <c r="M49" s="32">
        <v>0</v>
      </c>
      <c r="N49" s="32">
        <v>0</v>
      </c>
      <c r="O49" s="32">
        <v>0</v>
      </c>
      <c r="P49" s="33">
        <f t="shared" si="1"/>
        <v>0</v>
      </c>
    </row>
    <row r="50" spans="1:16" x14ac:dyDescent="0.3">
      <c r="A50" s="30">
        <v>60</v>
      </c>
      <c r="B50" s="31" t="str">
        <f>IFERROR(INDEX(Categorias!$B$4:$B$300,MATCH($A50,Categorias!$A$4:$A$300,0)),"CÓDIGO INVÁLIDO")</f>
        <v>Lazer</v>
      </c>
      <c r="C50" s="31" t="str">
        <f>IFERROR(INDEX(Categorias!$C$4:$C$300,MATCH($A50,Categorias!$A$4:$A$300,0)),"CÓDIGO INVÁLIDO")</f>
        <v>Cinema</v>
      </c>
      <c r="D50" s="32">
        <v>450</v>
      </c>
      <c r="E50" s="32">
        <v>450</v>
      </c>
      <c r="F50" s="32">
        <v>450</v>
      </c>
      <c r="G50" s="32">
        <v>450</v>
      </c>
      <c r="H50" s="32">
        <v>450</v>
      </c>
      <c r="I50" s="32">
        <v>450</v>
      </c>
      <c r="J50" s="32">
        <v>450</v>
      </c>
      <c r="K50" s="32">
        <v>450</v>
      </c>
      <c r="L50" s="32">
        <v>450</v>
      </c>
      <c r="M50" s="32">
        <v>450</v>
      </c>
      <c r="N50" s="32">
        <v>450</v>
      </c>
      <c r="O50" s="32">
        <v>450</v>
      </c>
      <c r="P50" s="33">
        <f t="shared" si="1"/>
        <v>5400</v>
      </c>
    </row>
    <row r="51" spans="1:16" x14ac:dyDescent="0.3">
      <c r="A51" s="30">
        <v>61</v>
      </c>
      <c r="B51" s="31" t="str">
        <f>IFERROR(INDEX(Categorias!$B$4:$B$300,MATCH($A51,Categorias!$A$4:$A$300,0)),"CÓDIGO INVÁLIDO")</f>
        <v>Lazer</v>
      </c>
      <c r="C51" s="31" t="str">
        <f>IFERROR(INDEX(Categorias!$C$4:$C$300,MATCH($A51,Categorias!$A$4:$A$300,0)),"CÓDIGO INVÁLIDO")</f>
        <v>Esportes</v>
      </c>
      <c r="D51" s="32">
        <v>0</v>
      </c>
      <c r="E51" s="32">
        <v>0</v>
      </c>
      <c r="F51" s="32">
        <v>0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32">
        <v>0</v>
      </c>
      <c r="M51" s="32">
        <v>0</v>
      </c>
      <c r="N51" s="32">
        <v>0</v>
      </c>
      <c r="O51" s="32">
        <v>0</v>
      </c>
      <c r="P51" s="33">
        <f t="shared" si="1"/>
        <v>0</v>
      </c>
    </row>
    <row r="52" spans="1:16" x14ac:dyDescent="0.3">
      <c r="A52" s="30">
        <v>62</v>
      </c>
      <c r="B52" s="31" t="str">
        <f>IFERROR(INDEX(Categorias!$B$4:$B$300,MATCH($A52,Categorias!$A$4:$A$300,0)),"CÓDIGO INVÁLIDO")</f>
        <v>Lazer</v>
      </c>
      <c r="C52" s="31" t="str">
        <f>IFERROR(INDEX(Categorias!$C$4:$C$300,MATCH($A52,Categorias!$A$4:$A$300,0)),"CÓDIGO INVÁLIDO")</f>
        <v>Shows / Concertos</v>
      </c>
      <c r="D52" s="32">
        <v>120</v>
      </c>
      <c r="E52" s="32">
        <v>120</v>
      </c>
      <c r="F52" s="32">
        <v>120</v>
      </c>
      <c r="G52" s="32">
        <v>120</v>
      </c>
      <c r="H52" s="32">
        <v>120</v>
      </c>
      <c r="I52" s="32">
        <v>120</v>
      </c>
      <c r="J52" s="32">
        <v>120</v>
      </c>
      <c r="K52" s="32">
        <v>120</v>
      </c>
      <c r="L52" s="32">
        <v>120</v>
      </c>
      <c r="M52" s="32">
        <v>120</v>
      </c>
      <c r="N52" s="32">
        <v>120</v>
      </c>
      <c r="O52" s="32">
        <v>120</v>
      </c>
      <c r="P52" s="33">
        <f t="shared" si="1"/>
        <v>1440</v>
      </c>
    </row>
    <row r="53" spans="1:16" x14ac:dyDescent="0.3">
      <c r="A53" s="30">
        <v>63</v>
      </c>
      <c r="B53" s="31" t="str">
        <f>IFERROR(INDEX(Categorias!$B$4:$B$300,MATCH($A53,Categorias!$A$4:$A$300,0)),"CÓDIGO INVÁLIDO")</f>
        <v>Lazer</v>
      </c>
      <c r="C53" s="31" t="str">
        <f>IFERROR(INDEX(Categorias!$C$4:$C$300,MATCH($A53,Categorias!$A$4:$A$300,0)),"CÓDIGO INVÁLIDO")</f>
        <v>Viagens / Férias</v>
      </c>
      <c r="D53" s="32">
        <v>148</v>
      </c>
      <c r="E53" s="32">
        <v>148</v>
      </c>
      <c r="F53" s="32">
        <v>148</v>
      </c>
      <c r="G53" s="32">
        <v>148</v>
      </c>
      <c r="H53" s="32">
        <v>148</v>
      </c>
      <c r="I53" s="32">
        <v>148</v>
      </c>
      <c r="J53" s="32">
        <v>148</v>
      </c>
      <c r="K53" s="32">
        <v>148</v>
      </c>
      <c r="L53" s="32">
        <v>148</v>
      </c>
      <c r="M53" s="32">
        <v>148</v>
      </c>
      <c r="N53" s="32">
        <v>148</v>
      </c>
      <c r="O53" s="32">
        <v>148</v>
      </c>
      <c r="P53" s="33">
        <f t="shared" si="1"/>
        <v>1776</v>
      </c>
    </row>
    <row r="54" spans="1:16" x14ac:dyDescent="0.3">
      <c r="A54" s="30">
        <v>64</v>
      </c>
      <c r="B54" s="31" t="str">
        <f>IFERROR(INDEX(Categorias!$B$4:$B$300,MATCH($A54,Categorias!$A$4:$A$300,0)),"CÓDIGO INVÁLIDO")</f>
        <v>Lazer</v>
      </c>
      <c r="C54" s="31" t="str">
        <f>IFERROR(INDEX(Categorias!$C$4:$C$300,MATCH($A54,Categorias!$A$4:$A$300,0)),"CÓDIGO INVÁLIDO")</f>
        <v>Outros Lazer</v>
      </c>
      <c r="D54" s="32">
        <v>60</v>
      </c>
      <c r="E54" s="32">
        <v>60</v>
      </c>
      <c r="F54" s="32">
        <v>60</v>
      </c>
      <c r="G54" s="32">
        <v>60</v>
      </c>
      <c r="H54" s="32">
        <v>60</v>
      </c>
      <c r="I54" s="32">
        <v>60</v>
      </c>
      <c r="J54" s="32">
        <v>60</v>
      </c>
      <c r="K54" s="32">
        <v>60</v>
      </c>
      <c r="L54" s="32">
        <v>60</v>
      </c>
      <c r="M54" s="32">
        <v>60</v>
      </c>
      <c r="N54" s="32">
        <v>60</v>
      </c>
      <c r="O54" s="32">
        <v>60</v>
      </c>
      <c r="P54" s="33">
        <f t="shared" si="1"/>
        <v>720</v>
      </c>
    </row>
    <row r="55" spans="1:16" x14ac:dyDescent="0.3">
      <c r="A55" s="30">
        <v>70</v>
      </c>
      <c r="B55" s="31" t="str">
        <f>IFERROR(INDEX(Categorias!$B$4:$B$300,MATCH($A55,Categorias!$A$4:$A$300,0)),"CÓDIGO INVÁLIDO")</f>
        <v>Casa (Artigos)</v>
      </c>
      <c r="C55" s="31" t="str">
        <f>IFERROR(INDEX(Categorias!$C$4:$C$300,MATCH($A55,Categorias!$A$4:$A$300,0)),"CÓDIGO INVÁLIDO")</f>
        <v>Cama</v>
      </c>
      <c r="D55" s="32">
        <v>0</v>
      </c>
      <c r="E55" s="32">
        <v>0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2">
        <v>0</v>
      </c>
      <c r="L55" s="32">
        <v>0</v>
      </c>
      <c r="M55" s="32">
        <v>0</v>
      </c>
      <c r="N55" s="32">
        <v>0</v>
      </c>
      <c r="O55" s="32">
        <v>0</v>
      </c>
      <c r="P55" s="33">
        <f t="shared" si="1"/>
        <v>0</v>
      </c>
    </row>
    <row r="56" spans="1:16" x14ac:dyDescent="0.3">
      <c r="A56" s="30">
        <v>71</v>
      </c>
      <c r="B56" s="31" t="str">
        <f>IFERROR(INDEX(Categorias!$B$4:$B$300,MATCH($A56,Categorias!$A$4:$A$300,0)),"CÓDIGO INVÁLIDO")</f>
        <v>Casa (Artigos)</v>
      </c>
      <c r="C56" s="31" t="str">
        <f>IFERROR(INDEX(Categorias!$C$4:$C$300,MATCH($A56,Categorias!$A$4:$A$300,0)),"CÓDIGO INVÁLIDO")</f>
        <v>Consertos Futuros</v>
      </c>
      <c r="D56" s="32">
        <v>0</v>
      </c>
      <c r="E56" s="32">
        <v>0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2">
        <v>0</v>
      </c>
      <c r="L56" s="32">
        <v>0</v>
      </c>
      <c r="M56" s="32">
        <v>0</v>
      </c>
      <c r="N56" s="32">
        <v>0</v>
      </c>
      <c r="O56" s="32">
        <v>0</v>
      </c>
      <c r="P56" s="33">
        <f t="shared" si="1"/>
        <v>0</v>
      </c>
    </row>
    <row r="57" spans="1:16" x14ac:dyDescent="0.3">
      <c r="A57" s="30">
        <v>72</v>
      </c>
      <c r="B57" s="31" t="str">
        <f>IFERROR(INDEX(Categorias!$B$4:$B$300,MATCH($A57,Categorias!$A$4:$A$300,0)),"CÓDIGO INVÁLIDO")</f>
        <v>Casa (Artigos)</v>
      </c>
      <c r="C57" s="31" t="str">
        <f>IFERROR(INDEX(Categorias!$C$4:$C$300,MATCH($A57,Categorias!$A$4:$A$300,0)),"CÓDIGO INVÁLIDO")</f>
        <v>Geladeira</v>
      </c>
      <c r="D57" s="32">
        <v>0</v>
      </c>
      <c r="E57" s="32">
        <v>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2">
        <v>0</v>
      </c>
      <c r="L57" s="32">
        <v>0</v>
      </c>
      <c r="M57" s="32">
        <v>0</v>
      </c>
      <c r="N57" s="32">
        <v>0</v>
      </c>
      <c r="O57" s="32">
        <v>0</v>
      </c>
      <c r="P57" s="33">
        <f t="shared" si="1"/>
        <v>0</v>
      </c>
    </row>
    <row r="58" spans="1:16" x14ac:dyDescent="0.3">
      <c r="A58" s="30">
        <v>73</v>
      </c>
      <c r="B58" s="31" t="str">
        <f>IFERROR(INDEX(Categorias!$B$4:$B$300,MATCH($A58,Categorias!$A$4:$A$300,0)),"CÓDIGO INVÁLIDO")</f>
        <v>Casa (Artigos)</v>
      </c>
      <c r="C58" s="31" t="str">
        <f>IFERROR(INDEX(Categorias!$C$4:$C$300,MATCH($A58,Categorias!$A$4:$A$300,0)),"CÓDIGO INVÁLIDO")</f>
        <v>Lava e Seca</v>
      </c>
      <c r="D58" s="32">
        <v>0</v>
      </c>
      <c r="E58" s="32">
        <v>0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0</v>
      </c>
      <c r="M58" s="32">
        <v>0</v>
      </c>
      <c r="N58" s="32">
        <v>0</v>
      </c>
      <c r="O58" s="32">
        <v>0</v>
      </c>
      <c r="P58" s="33">
        <f t="shared" si="1"/>
        <v>0</v>
      </c>
    </row>
    <row r="59" spans="1:16" x14ac:dyDescent="0.3">
      <c r="A59" s="30">
        <v>74</v>
      </c>
      <c r="B59" s="31" t="str">
        <f>IFERROR(INDEX(Categorias!$B$4:$B$300,MATCH($A59,Categorias!$A$4:$A$300,0)),"CÓDIGO INVÁLIDO")</f>
        <v>Casa (Artigos)</v>
      </c>
      <c r="C59" s="31" t="str">
        <f>IFERROR(INDEX(Categorias!$C$4:$C$300,MATCH($A59,Categorias!$A$4:$A$300,0)),"CÓDIGO INVÁLIDO")</f>
        <v>Lava-louças</v>
      </c>
      <c r="D59" s="32">
        <v>0</v>
      </c>
      <c r="E59" s="32">
        <v>0</v>
      </c>
      <c r="F59" s="32">
        <v>0</v>
      </c>
      <c r="G59" s="32">
        <v>0</v>
      </c>
      <c r="H59" s="32">
        <v>0</v>
      </c>
      <c r="I59" s="32">
        <v>0</v>
      </c>
      <c r="J59" s="32">
        <v>0</v>
      </c>
      <c r="K59" s="32">
        <v>0</v>
      </c>
      <c r="L59" s="32">
        <v>0</v>
      </c>
      <c r="M59" s="32">
        <v>0</v>
      </c>
      <c r="N59" s="32">
        <v>0</v>
      </c>
      <c r="O59" s="32">
        <v>0</v>
      </c>
      <c r="P59" s="33">
        <f t="shared" si="1"/>
        <v>0</v>
      </c>
    </row>
    <row r="60" spans="1:16" x14ac:dyDescent="0.3">
      <c r="A60" s="30">
        <v>75</v>
      </c>
      <c r="B60" s="31" t="str">
        <f>IFERROR(INDEX(Categorias!$B$4:$B$300,MATCH($A60,Categorias!$A$4:$A$300,0)),"CÓDIGO INVÁLIDO")</f>
        <v>Casa (Artigos)</v>
      </c>
      <c r="C60" s="31" t="str">
        <f>IFERROR(INDEX(Categorias!$C$4:$C$300,MATCH($A60,Categorias!$A$4:$A$300,0)),"CÓDIGO INVÁLIDO")</f>
        <v>Utensílios e Decoração</v>
      </c>
      <c r="D60" s="32">
        <v>0</v>
      </c>
      <c r="E60" s="32">
        <v>0</v>
      </c>
      <c r="F60" s="32">
        <v>0</v>
      </c>
      <c r="G60" s="32">
        <v>0</v>
      </c>
      <c r="H60" s="32">
        <v>0</v>
      </c>
      <c r="I60" s="32">
        <v>0</v>
      </c>
      <c r="J60" s="32">
        <v>0</v>
      </c>
      <c r="K60" s="32">
        <v>0</v>
      </c>
      <c r="L60" s="32">
        <v>0</v>
      </c>
      <c r="M60" s="32">
        <v>0</v>
      </c>
      <c r="N60" s="32">
        <v>0</v>
      </c>
      <c r="O60" s="32">
        <v>0</v>
      </c>
      <c r="P60" s="33">
        <f t="shared" si="1"/>
        <v>0</v>
      </c>
    </row>
    <row r="61" spans="1:16" x14ac:dyDescent="0.3">
      <c r="A61" s="30">
        <v>76</v>
      </c>
      <c r="B61" s="31" t="str">
        <f>IFERROR(INDEX(Categorias!$B$4:$B$300,MATCH($A61,Categorias!$A$4:$A$300,0)),"CÓDIGO INVÁLIDO")</f>
        <v>Casa (Artigos)</v>
      </c>
      <c r="C61" s="31" t="str">
        <f>IFERROR(INDEX(Categorias!$C$4:$C$300,MATCH($A61,Categorias!$A$4:$A$300,0)),"CÓDIGO INVÁLIDO")</f>
        <v>Outros Artigos</v>
      </c>
      <c r="D61" s="32">
        <v>0</v>
      </c>
      <c r="E61" s="32">
        <v>0</v>
      </c>
      <c r="F61" s="32">
        <v>0</v>
      </c>
      <c r="G61" s="32">
        <v>0</v>
      </c>
      <c r="H61" s="32">
        <v>0</v>
      </c>
      <c r="I61" s="32">
        <v>0</v>
      </c>
      <c r="J61" s="32">
        <v>0</v>
      </c>
      <c r="K61" s="32">
        <v>0</v>
      </c>
      <c r="L61" s="32">
        <v>0</v>
      </c>
      <c r="M61" s="32">
        <v>0</v>
      </c>
      <c r="N61" s="32">
        <v>0</v>
      </c>
      <c r="O61" s="32">
        <v>0</v>
      </c>
      <c r="P61" s="33">
        <f t="shared" si="1"/>
        <v>0</v>
      </c>
    </row>
    <row r="62" spans="1:16" x14ac:dyDescent="0.3">
      <c r="A62" s="30">
        <v>80</v>
      </c>
      <c r="B62" s="31" t="str">
        <f>IFERROR(INDEX(Categorias!$B$4:$B$300,MATCH($A62,Categorias!$A$4:$A$300,0)),"CÓDIGO INVÁLIDO")</f>
        <v>Outros</v>
      </c>
      <c r="C62" s="31" t="str">
        <f>IFERROR(INDEX(Categorias!$C$4:$C$300,MATCH($A62,Categorias!$A$4:$A$300,0)),"CÓDIGO INVÁLIDO")</f>
        <v>Presentes</v>
      </c>
      <c r="D62" s="32">
        <v>0</v>
      </c>
      <c r="E62" s="32">
        <v>89</v>
      </c>
      <c r="F62" s="32">
        <v>89</v>
      </c>
      <c r="G62" s="32">
        <v>89</v>
      </c>
      <c r="H62" s="32">
        <v>89</v>
      </c>
      <c r="I62" s="32">
        <v>89</v>
      </c>
      <c r="J62" s="32">
        <v>89</v>
      </c>
      <c r="K62" s="32">
        <v>89</v>
      </c>
      <c r="L62" s="32">
        <v>89</v>
      </c>
      <c r="M62" s="32">
        <v>89</v>
      </c>
      <c r="N62" s="32">
        <v>89</v>
      </c>
      <c r="O62" s="32">
        <v>89</v>
      </c>
      <c r="P62" s="33">
        <f t="shared" si="1"/>
        <v>979</v>
      </c>
    </row>
    <row r="63" spans="1:16" x14ac:dyDescent="0.3">
      <c r="A63" s="30">
        <v>81</v>
      </c>
      <c r="B63" s="31" t="str">
        <f>IFERROR(INDEX(Categorias!$B$4:$B$300,MATCH($A63,Categorias!$A$4:$A$300,0)),"CÓDIGO INVÁLIDO")</f>
        <v>Outros</v>
      </c>
      <c r="C63" s="31" t="str">
        <f>IFERROR(INDEX(Categorias!$C$4:$C$300,MATCH($A63,Categorias!$A$4:$A$300,0)),"CÓDIGO INVÁLIDO")</f>
        <v>Doações</v>
      </c>
      <c r="D63" s="32">
        <v>0</v>
      </c>
      <c r="E63" s="32">
        <v>0</v>
      </c>
      <c r="F63" s="32">
        <v>0</v>
      </c>
      <c r="G63" s="32">
        <v>0</v>
      </c>
      <c r="H63" s="32">
        <v>0</v>
      </c>
      <c r="I63" s="32">
        <v>0</v>
      </c>
      <c r="J63" s="32">
        <v>0</v>
      </c>
      <c r="K63" s="32">
        <v>0</v>
      </c>
      <c r="L63" s="32">
        <v>0</v>
      </c>
      <c r="M63" s="32">
        <v>0</v>
      </c>
      <c r="N63" s="32">
        <v>0</v>
      </c>
      <c r="O63" s="32">
        <v>0</v>
      </c>
      <c r="P63" s="33">
        <f t="shared" si="1"/>
        <v>0</v>
      </c>
    </row>
    <row r="64" spans="1:16" x14ac:dyDescent="0.3">
      <c r="A64" s="30">
        <v>82</v>
      </c>
      <c r="B64" s="31" t="str">
        <f>IFERROR(INDEX(Categorias!$B$4:$B$300,MATCH($A64,Categorias!$A$4:$A$300,0)),"CÓDIGO INVÁLIDO")</f>
        <v>Outros</v>
      </c>
      <c r="C64" s="31" t="str">
        <f>IFERROR(INDEX(Categorias!$C$4:$C$300,MATCH($A64,Categorias!$A$4:$A$300,0)),"CÓDIGO INVÁLIDO")</f>
        <v>Ensaio</v>
      </c>
      <c r="D64" s="32">
        <v>0</v>
      </c>
      <c r="E64" s="32">
        <v>140</v>
      </c>
      <c r="F64" s="32">
        <v>140</v>
      </c>
      <c r="G64" s="32">
        <v>140</v>
      </c>
      <c r="H64" s="32">
        <v>140</v>
      </c>
      <c r="I64" s="32">
        <v>140</v>
      </c>
      <c r="J64" s="32">
        <v>140</v>
      </c>
      <c r="K64" s="32">
        <v>140</v>
      </c>
      <c r="L64" s="32">
        <v>140</v>
      </c>
      <c r="M64" s="32">
        <v>140</v>
      </c>
      <c r="N64" s="32">
        <v>140</v>
      </c>
      <c r="O64" s="32">
        <v>140</v>
      </c>
      <c r="P64" s="33">
        <f t="shared" si="1"/>
        <v>1540</v>
      </c>
    </row>
    <row r="65" spans="1:16" x14ac:dyDescent="0.3">
      <c r="A65" s="30">
        <v>83</v>
      </c>
      <c r="B65" s="31" t="str">
        <f>IFERROR(INDEX(Categorias!$B$4:$B$300,MATCH($A65,Categorias!$A$4:$A$300,0)),"CÓDIGO INVÁLIDO")</f>
        <v>Outros</v>
      </c>
      <c r="C65" s="31" t="str">
        <f>IFERROR(INDEX(Categorias!$C$4:$C$300,MATCH($A65,Categorias!$A$4:$A$300,0)),"CÓDIGO INVÁLIDO")</f>
        <v>Outros</v>
      </c>
      <c r="D65" s="32">
        <v>0</v>
      </c>
      <c r="E65" s="32">
        <v>0</v>
      </c>
      <c r="F65" s="32">
        <v>0</v>
      </c>
      <c r="G65" s="32">
        <v>0</v>
      </c>
      <c r="H65" s="32">
        <v>0</v>
      </c>
      <c r="I65" s="32">
        <v>0</v>
      </c>
      <c r="J65" s="32">
        <v>0</v>
      </c>
      <c r="K65" s="32">
        <v>0</v>
      </c>
      <c r="L65" s="32">
        <v>0</v>
      </c>
      <c r="M65" s="32">
        <v>0</v>
      </c>
      <c r="N65" s="32">
        <v>0</v>
      </c>
      <c r="O65" s="32">
        <v>0</v>
      </c>
      <c r="P65" s="33">
        <f t="shared" si="1"/>
        <v>0</v>
      </c>
    </row>
    <row r="66" spans="1:16" x14ac:dyDescent="0.3">
      <c r="A66" s="30">
        <v>4</v>
      </c>
      <c r="B66" s="31" t="str">
        <f>IFERROR(INDEX(Categorias!$B$4:$B$300,MATCH($A66,Categorias!$A$4:$A$300,0)),"CÓDIGO INVÁLIDO")</f>
        <v>Cartões e Dívidas</v>
      </c>
      <c r="C66" s="31" t="str">
        <f>IFERROR(INDEX(Categorias!$C$4:$C$300,MATCH($A66,Categorias!$A$4:$A$300,0)),"CÓDIGO INVÁLIDO")</f>
        <v>Cartão Jhenismara</v>
      </c>
      <c r="D66" s="32">
        <v>1200</v>
      </c>
      <c r="E66" s="32">
        <v>1200</v>
      </c>
      <c r="F66" s="32">
        <v>1200</v>
      </c>
      <c r="G66" s="32">
        <v>1200</v>
      </c>
      <c r="H66" s="32">
        <v>1200</v>
      </c>
      <c r="I66" s="32">
        <v>1200</v>
      </c>
      <c r="J66" s="32">
        <v>1200</v>
      </c>
      <c r="K66" s="32">
        <v>1200</v>
      </c>
      <c r="L66" s="32">
        <v>1200</v>
      </c>
      <c r="M66" s="32">
        <v>1200</v>
      </c>
      <c r="N66" s="32">
        <v>1200</v>
      </c>
      <c r="O66" s="32">
        <v>1200</v>
      </c>
      <c r="P66" s="33">
        <f t="shared" si="1"/>
        <v>14400</v>
      </c>
    </row>
    <row r="67" spans="1:16" x14ac:dyDescent="0.3">
      <c r="A67" s="30">
        <v>9</v>
      </c>
      <c r="B67" s="31" t="str">
        <f>IFERROR(INDEX(Categorias!$B$4:$B$300,MATCH($A67,Categorias!$A$4:$A$300,0)),"CÓDIGO INVÁLIDO")</f>
        <v>Cartões e Dívidas</v>
      </c>
      <c r="C67" s="31" t="str">
        <f>IFERROR(INDEX(Categorias!$C$4:$C$300,MATCH($A67,Categorias!$A$4:$A$300,0)),"CÓDIGO INVÁLIDO")</f>
        <v>Cartão Matheus</v>
      </c>
      <c r="D67" s="32">
        <v>175</v>
      </c>
      <c r="E67" s="32">
        <v>175</v>
      </c>
      <c r="F67" s="32">
        <v>175</v>
      </c>
      <c r="G67" s="32">
        <v>175</v>
      </c>
      <c r="H67" s="32">
        <v>175</v>
      </c>
      <c r="I67" s="32">
        <v>175</v>
      </c>
      <c r="J67" s="32">
        <v>175</v>
      </c>
      <c r="K67" s="32">
        <v>175</v>
      </c>
      <c r="L67" s="32">
        <v>175</v>
      </c>
      <c r="M67" s="32">
        <v>175</v>
      </c>
      <c r="N67" s="32">
        <v>175</v>
      </c>
      <c r="O67" s="32">
        <v>175</v>
      </c>
      <c r="P67" s="33">
        <f t="shared" si="1"/>
        <v>2100</v>
      </c>
    </row>
    <row r="68" spans="1:16" x14ac:dyDescent="0.3">
      <c r="A68" s="30">
        <v>84</v>
      </c>
      <c r="B68" s="31" t="str">
        <f>IFERROR(INDEX(Categorias!$B$4:$B$300,MATCH($A68,Categorias!$A$4:$A$300,0)),"CÓDIGO INVÁLIDO")</f>
        <v>Cartões e Dívidas</v>
      </c>
      <c r="C68" s="31" t="str">
        <f>IFERROR(INDEX(Categorias!$C$4:$C$300,MATCH($A68,Categorias!$A$4:$A$300,0)),"CÓDIGO INVÁLIDO")</f>
        <v>Casas Bahia (Matheus)</v>
      </c>
      <c r="D68" s="32">
        <v>5200</v>
      </c>
      <c r="E68" s="32">
        <v>0</v>
      </c>
      <c r="F68" s="32">
        <v>0</v>
      </c>
      <c r="G68" s="32">
        <v>0</v>
      </c>
      <c r="H68" s="32">
        <v>0</v>
      </c>
      <c r="I68" s="32">
        <v>0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33">
        <f t="shared" si="1"/>
        <v>5200</v>
      </c>
    </row>
    <row r="69" spans="1:16" x14ac:dyDescent="0.3">
      <c r="A69" s="30">
        <v>85</v>
      </c>
      <c r="B69" s="31" t="str">
        <f>IFERROR(INDEX(Categorias!$B$4:$B$300,MATCH($A69,Categorias!$A$4:$A$300,0)),"CÓDIGO INVÁLIDO")</f>
        <v>Cartões e Dívidas</v>
      </c>
      <c r="C69" s="31" t="str">
        <f>IFERROR(INDEX(Categorias!$C$4:$C$300,MATCH($A69,Categorias!$A$4:$A$300,0)),"CÓDIGO INVÁLIDO")</f>
        <v>Faculdade (Matheus)</v>
      </c>
      <c r="D69" s="32">
        <v>1740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3">
        <f t="shared" ref="P69:P78" si="2">SUM(D69:O69)</f>
        <v>1740</v>
      </c>
    </row>
    <row r="70" spans="1:16" x14ac:dyDescent="0.3">
      <c r="A70" s="30">
        <v>86</v>
      </c>
      <c r="B70" s="31" t="str">
        <f>IFERROR(INDEX(Categorias!$B$4:$B$300,MATCH($A70,Categorias!$A$4:$A$300,0)),"CÓDIGO INVÁLIDO")</f>
        <v>Cartões e Dívidas</v>
      </c>
      <c r="C70" s="31" t="str">
        <f>IFERROR(INDEX(Categorias!$C$4:$C$300,MATCH($A70,Categorias!$A$4:$A$300,0)),"CÓDIGO INVÁLIDO")</f>
        <v>Magalu (Matheus)</v>
      </c>
      <c r="D70" s="32">
        <v>380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3">
        <f t="shared" si="2"/>
        <v>380</v>
      </c>
    </row>
    <row r="71" spans="1:16" x14ac:dyDescent="0.3">
      <c r="A71" s="30">
        <v>87</v>
      </c>
      <c r="B71" s="31" t="str">
        <f>IFERROR(INDEX(Categorias!$B$4:$B$300,MATCH($A71,Categorias!$A$4:$A$300,0)),"CÓDIGO INVÁLIDO")</f>
        <v>Cartões e Dívidas</v>
      </c>
      <c r="C71" s="31" t="str">
        <f>IFERROR(INDEX(Categorias!$C$4:$C$300,MATCH($A71,Categorias!$A$4:$A$300,0)),"CÓDIGO INVÁLIDO")</f>
        <v>Vivo (Matheus)</v>
      </c>
      <c r="D71" s="32">
        <v>478</v>
      </c>
      <c r="E71" s="32">
        <v>0</v>
      </c>
      <c r="F71" s="32">
        <v>0</v>
      </c>
      <c r="G71" s="32">
        <v>0</v>
      </c>
      <c r="H71" s="32">
        <v>0</v>
      </c>
      <c r="I71" s="32">
        <v>0</v>
      </c>
      <c r="J71" s="32">
        <v>0</v>
      </c>
      <c r="K71" s="32">
        <v>0</v>
      </c>
      <c r="L71" s="32">
        <v>0</v>
      </c>
      <c r="M71" s="32">
        <v>0</v>
      </c>
      <c r="N71" s="32">
        <v>0</v>
      </c>
      <c r="O71" s="32">
        <v>0</v>
      </c>
      <c r="P71" s="33">
        <f t="shared" si="2"/>
        <v>478</v>
      </c>
    </row>
    <row r="72" spans="1:16" x14ac:dyDescent="0.3">
      <c r="A72" s="30">
        <v>90</v>
      </c>
      <c r="B72" s="31" t="str">
        <f>IFERROR(INDEX(Categorias!$B$4:$B$300,MATCH($A72,Categorias!$A$4:$A$300,0)),"CÓDIGO INVÁLIDO")</f>
        <v>Financeiro</v>
      </c>
      <c r="C72" s="31" t="str">
        <f>IFERROR(INDEX(Categorias!$C$4:$C$300,MATCH($A72,Categorias!$A$4:$A$300,0)),"CÓDIGO INVÁLIDO")</f>
        <v>Investimentos Mensais</v>
      </c>
      <c r="D72" s="32">
        <v>0</v>
      </c>
      <c r="E72" s="32">
        <v>0</v>
      </c>
      <c r="F72" s="32">
        <v>0</v>
      </c>
      <c r="G72" s="32">
        <v>0</v>
      </c>
      <c r="H72" s="32">
        <v>0</v>
      </c>
      <c r="I72" s="32">
        <v>0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2">
        <v>0</v>
      </c>
      <c r="P72" s="33">
        <f t="shared" si="2"/>
        <v>0</v>
      </c>
    </row>
    <row r="73" spans="1:16" x14ac:dyDescent="0.3">
      <c r="A73" s="30">
        <v>91</v>
      </c>
      <c r="B73" s="31" t="str">
        <f>IFERROR(INDEX(Categorias!$B$4:$B$300,MATCH($A73,Categorias!$A$4:$A$300,0)),"CÓDIGO INVÁLIDO")</f>
        <v>Financeiro</v>
      </c>
      <c r="C73" s="31" t="str">
        <f>IFERROR(INDEX(Categorias!$C$4:$C$300,MATCH($A73,Categorias!$A$4:$A$300,0)),"CÓDIGO INVÁLIDO")</f>
        <v>Cartas de Crédito</v>
      </c>
      <c r="D73" s="32">
        <v>0</v>
      </c>
      <c r="E73" s="32">
        <v>0</v>
      </c>
      <c r="F73" s="32">
        <v>0</v>
      </c>
      <c r="G73" s="32">
        <v>0</v>
      </c>
      <c r="H73" s="32">
        <v>0</v>
      </c>
      <c r="I73" s="32">
        <v>0</v>
      </c>
      <c r="J73" s="32">
        <v>0</v>
      </c>
      <c r="K73" s="32">
        <v>0</v>
      </c>
      <c r="L73" s="32">
        <v>0</v>
      </c>
      <c r="M73" s="32">
        <v>0</v>
      </c>
      <c r="N73" s="32">
        <v>0</v>
      </c>
      <c r="O73" s="32">
        <v>0</v>
      </c>
      <c r="P73" s="33">
        <f t="shared" si="2"/>
        <v>0</v>
      </c>
    </row>
    <row r="74" spans="1:16" x14ac:dyDescent="0.3">
      <c r="A74" s="30">
        <v>92</v>
      </c>
      <c r="B74" s="31" t="str">
        <f>IFERROR(INDEX(Categorias!$B$4:$B$300,MATCH($A74,Categorias!$A$4:$A$300,0)),"CÓDIGO INVÁLIDO")</f>
        <v>Financeiro</v>
      </c>
      <c r="C74" s="31" t="str">
        <f>IFERROR(INDEX(Categorias!$C$4:$C$300,MATCH($A74,Categorias!$A$4:$A$300,0)),"CÓDIGO INVÁLIDO")</f>
        <v>Outros Financeiro</v>
      </c>
      <c r="D74" s="32">
        <v>0</v>
      </c>
      <c r="E74" s="32">
        <v>0</v>
      </c>
      <c r="F74" s="32">
        <v>0</v>
      </c>
      <c r="G74" s="32">
        <v>0</v>
      </c>
      <c r="H74" s="32">
        <v>0</v>
      </c>
      <c r="I74" s="32">
        <v>0</v>
      </c>
      <c r="J74" s="32">
        <v>0</v>
      </c>
      <c r="K74" s="32">
        <v>0</v>
      </c>
      <c r="L74" s="32">
        <v>0</v>
      </c>
      <c r="M74" s="32">
        <v>0</v>
      </c>
      <c r="N74" s="32">
        <v>0</v>
      </c>
      <c r="O74" s="32">
        <v>0</v>
      </c>
      <c r="P74" s="33">
        <f t="shared" si="2"/>
        <v>0</v>
      </c>
    </row>
    <row r="75" spans="1:16" x14ac:dyDescent="0.3">
      <c r="A75" s="30">
        <v>34</v>
      </c>
      <c r="B75" s="31" t="str">
        <f>IFERROR(INDEX(Categorias!$B$4:$B$300,MATCH($A75,Categorias!$A$4:$A$300,0)),"CÓDIGO INVÁLIDO")</f>
        <v>Investimentos</v>
      </c>
      <c r="C75" s="31" t="str">
        <f>IFERROR(INDEX(Categorias!$C$4:$C$300,MATCH($A75,Categorias!$A$4:$A$300,0)),"CÓDIGO INVÁLIDO")</f>
        <v>Renda Variável</v>
      </c>
      <c r="D75" s="32">
        <v>1200</v>
      </c>
      <c r="E75" s="32">
        <v>1200</v>
      </c>
      <c r="F75" s="32">
        <v>1200</v>
      </c>
      <c r="G75" s="32">
        <v>1200</v>
      </c>
      <c r="H75" s="32">
        <v>1200</v>
      </c>
      <c r="I75" s="32">
        <v>1200</v>
      </c>
      <c r="J75" s="32">
        <v>1200</v>
      </c>
      <c r="K75" s="32">
        <v>1200</v>
      </c>
      <c r="L75" s="32">
        <v>1200</v>
      </c>
      <c r="M75" s="32">
        <v>1200</v>
      </c>
      <c r="N75" s="32">
        <v>1200</v>
      </c>
      <c r="O75" s="32">
        <v>1200</v>
      </c>
      <c r="P75" s="33">
        <f t="shared" si="2"/>
        <v>14400</v>
      </c>
    </row>
    <row r="76" spans="1:16" x14ac:dyDescent="0.3">
      <c r="A76" s="30">
        <v>35</v>
      </c>
      <c r="B76" s="31" t="str">
        <f>IFERROR(INDEX(Categorias!$B$4:$B$300,MATCH($A76,Categorias!$A$4:$A$300,0)),"CÓDIGO INVÁLIDO")</f>
        <v>Investimentos</v>
      </c>
      <c r="C76" s="31" t="str">
        <f>IFERROR(INDEX(Categorias!$C$4:$C$300,MATCH($A76,Categorias!$A$4:$A$300,0)),"CÓDIGO INVÁLIDO")</f>
        <v>Fundos Imobiliários</v>
      </c>
      <c r="D76" s="32">
        <v>1200</v>
      </c>
      <c r="E76" s="32">
        <v>1200</v>
      </c>
      <c r="F76" s="32">
        <v>1200</v>
      </c>
      <c r="G76" s="32">
        <v>1200</v>
      </c>
      <c r="H76" s="32">
        <v>1200</v>
      </c>
      <c r="I76" s="32">
        <v>1200</v>
      </c>
      <c r="J76" s="32">
        <v>1200</v>
      </c>
      <c r="K76" s="32">
        <v>1200</v>
      </c>
      <c r="L76" s="32">
        <v>1200</v>
      </c>
      <c r="M76" s="32">
        <v>1200</v>
      </c>
      <c r="N76" s="32">
        <v>1200</v>
      </c>
      <c r="O76" s="32">
        <v>1200</v>
      </c>
      <c r="P76" s="33">
        <f t="shared" si="2"/>
        <v>14400</v>
      </c>
    </row>
    <row r="77" spans="1:16" x14ac:dyDescent="0.3">
      <c r="A77" s="30">
        <v>36</v>
      </c>
      <c r="B77" s="31" t="str">
        <f>IFERROR(INDEX(Categorias!$B$4:$B$300,MATCH($A77,Categorias!$A$4:$A$300,0)),"CÓDIGO INVÁLIDO")</f>
        <v>Investimentos</v>
      </c>
      <c r="C77" s="31" t="str">
        <f>IFERROR(INDEX(Categorias!$C$4:$C$300,MATCH($A77,Categorias!$A$4:$A$300,0)),"CÓDIGO INVÁLIDO")</f>
        <v>Ações Baixo Risco</v>
      </c>
      <c r="D77" s="32">
        <v>1200</v>
      </c>
      <c r="E77" s="32">
        <v>1200</v>
      </c>
      <c r="F77" s="32">
        <v>1200</v>
      </c>
      <c r="G77" s="32">
        <v>1200</v>
      </c>
      <c r="H77" s="32">
        <v>1200</v>
      </c>
      <c r="I77" s="32">
        <v>1200</v>
      </c>
      <c r="J77" s="32">
        <v>1200</v>
      </c>
      <c r="K77" s="32">
        <v>1200</v>
      </c>
      <c r="L77" s="32">
        <v>1200</v>
      </c>
      <c r="M77" s="32">
        <v>1200</v>
      </c>
      <c r="N77" s="32">
        <v>1200</v>
      </c>
      <c r="O77" s="32">
        <v>1200</v>
      </c>
      <c r="P77" s="33">
        <f t="shared" si="2"/>
        <v>14400</v>
      </c>
    </row>
    <row r="78" spans="1:16" x14ac:dyDescent="0.3">
      <c r="A78" s="30">
        <v>37</v>
      </c>
      <c r="B78" s="31" t="str">
        <f>IFERROR(INDEX(Categorias!$B$4:$B$300,MATCH($A78,Categorias!$A$4:$A$300,0)),"CÓDIGO INVÁLIDO")</f>
        <v>Investimentos</v>
      </c>
      <c r="C78" s="31" t="str">
        <f>IFERROR(INDEX(Categorias!$C$4:$C$300,MATCH($A78,Categorias!$A$4:$A$300,0)),"CÓDIGO INVÁLIDO")</f>
        <v>Ações Alto Risco</v>
      </c>
      <c r="D78" s="32">
        <v>1200</v>
      </c>
      <c r="E78" s="32">
        <v>1200</v>
      </c>
      <c r="F78" s="32">
        <v>1200</v>
      </c>
      <c r="G78" s="32">
        <v>1200</v>
      </c>
      <c r="H78" s="32">
        <v>1200</v>
      </c>
      <c r="I78" s="32">
        <v>1200</v>
      </c>
      <c r="J78" s="32">
        <v>1200</v>
      </c>
      <c r="K78" s="32">
        <v>1200</v>
      </c>
      <c r="L78" s="32">
        <v>1200</v>
      </c>
      <c r="M78" s="32">
        <v>1200</v>
      </c>
      <c r="N78" s="32">
        <v>1200</v>
      </c>
      <c r="O78" s="32">
        <v>1200</v>
      </c>
      <c r="P78" s="33">
        <f t="shared" si="2"/>
        <v>14400</v>
      </c>
    </row>
    <row r="79" spans="1:16" x14ac:dyDescent="0.3">
      <c r="A79" s="34"/>
      <c r="B79" s="34"/>
      <c r="C79" s="35" t="s">
        <v>108</v>
      </c>
      <c r="D79" s="36">
        <f t="shared" ref="D79:P79" si="3">SUM(D5:D78)</f>
        <v>19582.3</v>
      </c>
      <c r="E79" s="36">
        <f t="shared" si="3"/>
        <v>12013.3</v>
      </c>
      <c r="F79" s="36">
        <f t="shared" si="3"/>
        <v>12013.3</v>
      </c>
      <c r="G79" s="36">
        <f t="shared" si="3"/>
        <v>12013.3</v>
      </c>
      <c r="H79" s="36">
        <f t="shared" si="3"/>
        <v>12013.3</v>
      </c>
      <c r="I79" s="36">
        <f t="shared" si="3"/>
        <v>12013.3</v>
      </c>
      <c r="J79" s="36">
        <f t="shared" si="3"/>
        <v>12013.3</v>
      </c>
      <c r="K79" s="36">
        <f t="shared" si="3"/>
        <v>12013.3</v>
      </c>
      <c r="L79" s="36">
        <f t="shared" si="3"/>
        <v>12013.3</v>
      </c>
      <c r="M79" s="36">
        <f t="shared" si="3"/>
        <v>12013.3</v>
      </c>
      <c r="N79" s="36">
        <f t="shared" si="3"/>
        <v>12013.3</v>
      </c>
      <c r="O79" s="36">
        <f t="shared" si="3"/>
        <v>12013.3</v>
      </c>
      <c r="P79" s="36">
        <f t="shared" si="3"/>
        <v>151728.6</v>
      </c>
    </row>
  </sheetData>
  <dataValidations count="1">
    <dataValidation type="decimal" operator="greaterThanOrEqual" showErrorMessage="1" errorTitle="Valor inválido" error="Informe um valor maior ou igual a zero." sqref="D5:O78" xr:uid="{00000000-0002-0000-0200-000000000000}">
      <formula1>0</formula1>
    </dataValidation>
  </dataValidation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E29"/>
  <sheetViews>
    <sheetView showGridLines="0" showRowColHeaders="0" workbookViewId="0">
      <pane ySplit="3" topLeftCell="A4" activePane="bottomLeft" state="frozen"/>
      <selection pane="bottomLeft"/>
    </sheetView>
  </sheetViews>
  <sheetFormatPr defaultRowHeight="16.5" x14ac:dyDescent="0.3"/>
  <cols>
    <col min="1" max="1" width="7" style="7" customWidth="1"/>
    <col min="2" max="2" width="28" style="7" customWidth="1"/>
    <col min="3" max="5" width="13" style="7" customWidth="1"/>
    <col min="6" max="6" width="3" style="7" customWidth="1"/>
    <col min="7" max="11" width="14" style="7" customWidth="1"/>
    <col min="12" max="16384" width="9.140625" style="7"/>
  </cols>
  <sheetData>
    <row r="1" spans="1:5" ht="44.1" customHeight="1" x14ac:dyDescent="0.45">
      <c r="A1" s="5"/>
    </row>
    <row r="2" spans="1:5" ht="30" customHeight="1" x14ac:dyDescent="0.3"/>
    <row r="3" spans="1:5" x14ac:dyDescent="0.3">
      <c r="A3" s="19" t="s">
        <v>109</v>
      </c>
      <c r="B3" s="19" t="s">
        <v>110</v>
      </c>
      <c r="C3" s="19" t="s">
        <v>1</v>
      </c>
      <c r="D3" s="19" t="s">
        <v>2</v>
      </c>
      <c r="E3" s="19" t="s">
        <v>3</v>
      </c>
    </row>
    <row r="4" spans="1:5" ht="15" customHeight="1" x14ac:dyDescent="0.3">
      <c r="A4" s="26">
        <v>1</v>
      </c>
      <c r="B4" s="26" t="s">
        <v>111</v>
      </c>
      <c r="C4" s="27">
        <v>2398</v>
      </c>
      <c r="D4" s="27">
        <v>1940</v>
      </c>
      <c r="E4" s="28">
        <f>tbRendas[[#This Row],[Real]]-tbRendas[[#This Row],[Previsto]]</f>
        <v>-458</v>
      </c>
    </row>
    <row r="5" spans="1:5" x14ac:dyDescent="0.3">
      <c r="A5" s="26">
        <v>1</v>
      </c>
      <c r="B5" s="26" t="s">
        <v>112</v>
      </c>
      <c r="C5" s="27">
        <v>2500</v>
      </c>
      <c r="D5" s="27">
        <v>2500</v>
      </c>
      <c r="E5" s="28">
        <f>tbRendas[[#This Row],[Real]]-tbRendas[[#This Row],[Previsto]]</f>
        <v>0</v>
      </c>
    </row>
    <row r="6" spans="1:5" x14ac:dyDescent="0.3">
      <c r="A6" s="26">
        <v>1</v>
      </c>
      <c r="B6" s="26" t="s">
        <v>113</v>
      </c>
      <c r="C6" s="27">
        <v>1200</v>
      </c>
      <c r="D6" s="27">
        <v>150</v>
      </c>
      <c r="E6" s="28">
        <f>tbRendas[[#This Row],[Real]]-tbRendas[[#This Row],[Previsto]]</f>
        <v>-1050</v>
      </c>
    </row>
    <row r="7" spans="1:5" x14ac:dyDescent="0.3">
      <c r="A7" s="26">
        <v>1</v>
      </c>
      <c r="B7" s="26" t="s">
        <v>114</v>
      </c>
      <c r="C7" s="27">
        <v>580</v>
      </c>
      <c r="D7" s="27">
        <v>140</v>
      </c>
      <c r="E7" s="28">
        <f>tbRendas[[#This Row],[Real]]-tbRendas[[#This Row],[Previsto]]</f>
        <v>-440</v>
      </c>
    </row>
    <row r="8" spans="1:5" x14ac:dyDescent="0.3">
      <c r="A8" s="26">
        <v>2</v>
      </c>
      <c r="B8" s="26" t="s">
        <v>111</v>
      </c>
      <c r="C8" s="27">
        <v>2398</v>
      </c>
      <c r="D8" s="27">
        <v>1940</v>
      </c>
      <c r="E8" s="28">
        <f>tbRendas[[#This Row],[Real]]-tbRendas[[#This Row],[Previsto]]</f>
        <v>-458</v>
      </c>
    </row>
    <row r="9" spans="1:5" x14ac:dyDescent="0.3">
      <c r="A9" s="26">
        <v>2</v>
      </c>
      <c r="B9" s="26" t="s">
        <v>112</v>
      </c>
      <c r="C9" s="27">
        <v>2500</v>
      </c>
      <c r="D9" s="27">
        <v>2500</v>
      </c>
      <c r="E9" s="28">
        <f>tbRendas[[#This Row],[Real]]-tbRendas[[#This Row],[Previsto]]</f>
        <v>0</v>
      </c>
    </row>
    <row r="10" spans="1:5" x14ac:dyDescent="0.3">
      <c r="A10" s="26">
        <v>3</v>
      </c>
      <c r="B10" s="26" t="s">
        <v>111</v>
      </c>
      <c r="C10" s="27">
        <v>2398</v>
      </c>
      <c r="D10" s="27">
        <v>1940</v>
      </c>
      <c r="E10" s="28">
        <f>tbRendas[[#This Row],[Real]]-tbRendas[[#This Row],[Previsto]]</f>
        <v>-458</v>
      </c>
    </row>
    <row r="11" spans="1:5" x14ac:dyDescent="0.3">
      <c r="A11" s="26">
        <v>3</v>
      </c>
      <c r="B11" s="26" t="s">
        <v>112</v>
      </c>
      <c r="C11" s="27">
        <v>2500</v>
      </c>
      <c r="D11" s="27">
        <v>2500</v>
      </c>
      <c r="E11" s="28">
        <f>tbRendas[[#This Row],[Real]]-tbRendas[[#This Row],[Previsto]]</f>
        <v>0</v>
      </c>
    </row>
    <row r="12" spans="1:5" x14ac:dyDescent="0.3">
      <c r="A12" s="26">
        <v>4</v>
      </c>
      <c r="B12" s="26" t="s">
        <v>111</v>
      </c>
      <c r="C12" s="27">
        <v>2398</v>
      </c>
      <c r="D12" s="27">
        <v>1940</v>
      </c>
      <c r="E12" s="28">
        <f>tbRendas[[#This Row],[Real]]-tbRendas[[#This Row],[Previsto]]</f>
        <v>-458</v>
      </c>
    </row>
    <row r="13" spans="1:5" x14ac:dyDescent="0.3">
      <c r="A13" s="26">
        <v>4</v>
      </c>
      <c r="B13" s="26" t="s">
        <v>112</v>
      </c>
      <c r="C13" s="27">
        <v>2500</v>
      </c>
      <c r="D13" s="27">
        <v>2500</v>
      </c>
      <c r="E13" s="28">
        <f>tbRendas[[#This Row],[Real]]-tbRendas[[#This Row],[Previsto]]</f>
        <v>0</v>
      </c>
    </row>
    <row r="14" spans="1:5" x14ac:dyDescent="0.3">
      <c r="A14" s="26">
        <v>5</v>
      </c>
      <c r="B14" s="26" t="s">
        <v>111</v>
      </c>
      <c r="C14" s="27">
        <v>2398</v>
      </c>
      <c r="D14" s="27">
        <v>1940</v>
      </c>
      <c r="E14" s="28">
        <f>tbRendas[[#This Row],[Real]]-tbRendas[[#This Row],[Previsto]]</f>
        <v>-458</v>
      </c>
    </row>
    <row r="15" spans="1:5" x14ac:dyDescent="0.3">
      <c r="A15" s="26">
        <v>5</v>
      </c>
      <c r="B15" s="26" t="s">
        <v>112</v>
      </c>
      <c r="C15" s="27">
        <v>2500</v>
      </c>
      <c r="D15" s="27">
        <v>2500</v>
      </c>
      <c r="E15" s="28">
        <f>tbRendas[[#This Row],[Real]]-tbRendas[[#This Row],[Previsto]]</f>
        <v>0</v>
      </c>
    </row>
    <row r="16" spans="1:5" x14ac:dyDescent="0.3">
      <c r="A16" s="26">
        <v>6</v>
      </c>
      <c r="B16" s="26" t="s">
        <v>111</v>
      </c>
      <c r="C16" s="27">
        <v>2398</v>
      </c>
      <c r="D16" s="27">
        <v>1940</v>
      </c>
      <c r="E16" s="28">
        <f>tbRendas[[#This Row],[Real]]-tbRendas[[#This Row],[Previsto]]</f>
        <v>-458</v>
      </c>
    </row>
    <row r="17" spans="1:5" x14ac:dyDescent="0.3">
      <c r="A17" s="26">
        <v>6</v>
      </c>
      <c r="B17" s="26" t="s">
        <v>112</v>
      </c>
      <c r="C17" s="27">
        <v>2500</v>
      </c>
      <c r="D17" s="27">
        <v>2500</v>
      </c>
      <c r="E17" s="28">
        <f>tbRendas[[#This Row],[Real]]-tbRendas[[#This Row],[Previsto]]</f>
        <v>0</v>
      </c>
    </row>
    <row r="18" spans="1:5" x14ac:dyDescent="0.3">
      <c r="A18" s="26">
        <v>7</v>
      </c>
      <c r="B18" s="26" t="s">
        <v>111</v>
      </c>
      <c r="C18" s="27">
        <v>2398</v>
      </c>
      <c r="D18" s="27">
        <v>1940</v>
      </c>
      <c r="E18" s="28">
        <f>tbRendas[[#This Row],[Real]]-tbRendas[[#This Row],[Previsto]]</f>
        <v>-458</v>
      </c>
    </row>
    <row r="19" spans="1:5" x14ac:dyDescent="0.3">
      <c r="A19" s="26">
        <v>7</v>
      </c>
      <c r="B19" s="26" t="s">
        <v>112</v>
      </c>
      <c r="C19" s="27">
        <v>2500</v>
      </c>
      <c r="D19" s="27">
        <v>2500</v>
      </c>
      <c r="E19" s="28">
        <f>tbRendas[[#This Row],[Real]]-tbRendas[[#This Row],[Previsto]]</f>
        <v>0</v>
      </c>
    </row>
    <row r="20" spans="1:5" x14ac:dyDescent="0.3">
      <c r="A20" s="26">
        <v>8</v>
      </c>
      <c r="B20" s="26" t="s">
        <v>111</v>
      </c>
      <c r="C20" s="27">
        <v>2398</v>
      </c>
      <c r="D20" s="27">
        <v>1940</v>
      </c>
      <c r="E20" s="28">
        <f>tbRendas[[#This Row],[Real]]-tbRendas[[#This Row],[Previsto]]</f>
        <v>-458</v>
      </c>
    </row>
    <row r="21" spans="1:5" x14ac:dyDescent="0.3">
      <c r="A21" s="26">
        <v>8</v>
      </c>
      <c r="B21" s="26" t="s">
        <v>112</v>
      </c>
      <c r="C21" s="27">
        <v>2500</v>
      </c>
      <c r="D21" s="27">
        <v>2500</v>
      </c>
      <c r="E21" s="28">
        <f>tbRendas[[#This Row],[Real]]-tbRendas[[#This Row],[Previsto]]</f>
        <v>0</v>
      </c>
    </row>
    <row r="22" spans="1:5" x14ac:dyDescent="0.3">
      <c r="A22" s="26">
        <v>9</v>
      </c>
      <c r="B22" s="26" t="s">
        <v>111</v>
      </c>
      <c r="C22" s="27">
        <v>2398</v>
      </c>
      <c r="D22" s="27">
        <v>1940</v>
      </c>
      <c r="E22" s="28">
        <f>tbRendas[[#This Row],[Real]]-tbRendas[[#This Row],[Previsto]]</f>
        <v>-458</v>
      </c>
    </row>
    <row r="23" spans="1:5" x14ac:dyDescent="0.3">
      <c r="A23" s="26">
        <v>9</v>
      </c>
      <c r="B23" s="26" t="s">
        <v>112</v>
      </c>
      <c r="C23" s="27">
        <v>2500</v>
      </c>
      <c r="D23" s="27">
        <v>2500</v>
      </c>
      <c r="E23" s="28">
        <f>tbRendas[[#This Row],[Real]]-tbRendas[[#This Row],[Previsto]]</f>
        <v>0</v>
      </c>
    </row>
    <row r="24" spans="1:5" x14ac:dyDescent="0.3">
      <c r="A24" s="26">
        <v>10</v>
      </c>
      <c r="B24" s="26" t="s">
        <v>111</v>
      </c>
      <c r="C24" s="27">
        <v>2398</v>
      </c>
      <c r="D24" s="27">
        <v>1940</v>
      </c>
      <c r="E24" s="28">
        <f>tbRendas[[#This Row],[Real]]-tbRendas[[#This Row],[Previsto]]</f>
        <v>-458</v>
      </c>
    </row>
    <row r="25" spans="1:5" x14ac:dyDescent="0.3">
      <c r="A25" s="26">
        <v>10</v>
      </c>
      <c r="B25" s="26" t="s">
        <v>112</v>
      </c>
      <c r="C25" s="27">
        <v>2500</v>
      </c>
      <c r="D25" s="27">
        <v>2500</v>
      </c>
      <c r="E25" s="28">
        <f>tbRendas[[#This Row],[Real]]-tbRendas[[#This Row],[Previsto]]</f>
        <v>0</v>
      </c>
    </row>
    <row r="26" spans="1:5" x14ac:dyDescent="0.3">
      <c r="A26" s="26">
        <v>11</v>
      </c>
      <c r="B26" s="26" t="s">
        <v>111</v>
      </c>
      <c r="C26" s="27">
        <v>2398</v>
      </c>
      <c r="D26" s="27">
        <v>1940</v>
      </c>
      <c r="E26" s="28">
        <f>tbRendas[[#This Row],[Real]]-tbRendas[[#This Row],[Previsto]]</f>
        <v>-458</v>
      </c>
    </row>
    <row r="27" spans="1:5" x14ac:dyDescent="0.3">
      <c r="A27" s="26">
        <v>11</v>
      </c>
      <c r="B27" s="26" t="s">
        <v>112</v>
      </c>
      <c r="C27" s="27">
        <v>2500</v>
      </c>
      <c r="D27" s="27">
        <v>2500</v>
      </c>
      <c r="E27" s="28">
        <f>tbRendas[[#This Row],[Real]]-tbRendas[[#This Row],[Previsto]]</f>
        <v>0</v>
      </c>
    </row>
    <row r="28" spans="1:5" x14ac:dyDescent="0.3">
      <c r="A28" s="26">
        <v>12</v>
      </c>
      <c r="B28" s="26" t="s">
        <v>111</v>
      </c>
      <c r="C28" s="27">
        <v>2398</v>
      </c>
      <c r="D28" s="27">
        <v>1940</v>
      </c>
      <c r="E28" s="28">
        <f>tbRendas[[#This Row],[Real]]-tbRendas[[#This Row],[Previsto]]</f>
        <v>-458</v>
      </c>
    </row>
    <row r="29" spans="1:5" x14ac:dyDescent="0.3">
      <c r="A29" s="26">
        <v>12</v>
      </c>
      <c r="B29" s="26" t="s">
        <v>112</v>
      </c>
      <c r="C29" s="27">
        <v>2500</v>
      </c>
      <c r="D29" s="27">
        <v>2500</v>
      </c>
      <c r="E29" s="28">
        <f>tbRendas[[#This Row],[Real]]-tbRendas[[#This Row],[Previsto]]</f>
        <v>0</v>
      </c>
    </row>
  </sheetData>
  <dataValidations count="2">
    <dataValidation type="whole" showErrorMessage="1" errorTitle="Mês inválido" error="Informe o mês como número de 1 a 12." sqref="A4:A29" xr:uid="{00000000-0002-0000-0300-000000000000}">
      <formula1>1</formula1>
      <formula2>12</formula2>
    </dataValidation>
    <dataValidation type="decimal" operator="greaterThanOrEqual" showErrorMessage="1" errorTitle="Valor inválido" error="Informe um valor maior ou igual a zero." sqref="C4:D29" xr:uid="{00000000-0002-0000-0300-000001000000}">
      <formula1>0</formula1>
    </dataValidation>
  </dataValidations>
  <pageMargins left="0.75" right="0.75" top="1" bottom="1" header="0.5" footer="0.5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K77"/>
  <sheetViews>
    <sheetView showGridLines="0" showRowColHeaders="0" workbookViewId="0">
      <pane ySplit="3" topLeftCell="A4" activePane="bottomLeft" state="frozen"/>
      <selection pane="bottomLeft"/>
    </sheetView>
  </sheetViews>
  <sheetFormatPr defaultRowHeight="16.5" x14ac:dyDescent="0.3"/>
  <cols>
    <col min="1" max="1" width="9" style="7" customWidth="1"/>
    <col min="2" max="2" width="20" style="7" customWidth="1"/>
    <col min="3" max="3" width="32" style="7" customWidth="1"/>
    <col min="4" max="4" width="70" style="7" customWidth="1"/>
    <col min="5" max="5" width="3" style="7" customWidth="1"/>
    <col min="6" max="6" width="20" style="7" customWidth="1"/>
    <col min="7" max="8" width="9.140625" style="7"/>
    <col min="9" max="9" width="18.7109375" style="7" customWidth="1"/>
    <col min="10" max="10" width="10.140625" style="7" customWidth="1"/>
    <col min="11" max="11" width="24.7109375" style="7" customWidth="1"/>
    <col min="12" max="16384" width="9.140625" style="7"/>
  </cols>
  <sheetData>
    <row r="1" spans="1:11" ht="44.1" customHeight="1" x14ac:dyDescent="0.45">
      <c r="A1" s="5"/>
    </row>
    <row r="2" spans="1:11" ht="30" customHeight="1" x14ac:dyDescent="0.3"/>
    <row r="3" spans="1:11" x14ac:dyDescent="0.3">
      <c r="A3" s="19" t="s">
        <v>6</v>
      </c>
      <c r="B3" s="19" t="s">
        <v>21</v>
      </c>
      <c r="C3" s="19" t="s">
        <v>7</v>
      </c>
      <c r="D3" s="20" t="s">
        <v>201</v>
      </c>
      <c r="E3" s="20" t="s">
        <v>140</v>
      </c>
      <c r="G3" s="37" t="s">
        <v>22</v>
      </c>
      <c r="I3" s="7" t="s">
        <v>235</v>
      </c>
      <c r="J3" s="7" t="s">
        <v>6</v>
      </c>
      <c r="K3" s="7" t="s">
        <v>141</v>
      </c>
    </row>
    <row r="4" spans="1:11" x14ac:dyDescent="0.3">
      <c r="A4" s="26">
        <v>1</v>
      </c>
      <c r="B4" s="26" t="s">
        <v>8</v>
      </c>
      <c r="C4" s="26" t="s">
        <v>23</v>
      </c>
      <c r="D4" s="23" t="s">
        <v>200</v>
      </c>
      <c r="E4" s="18" t="str">
        <f>tbCategorias[[#This Row],[Código]]&amp;" - "&amp;tbCategorias[[#This Row],[Subcategoria]]</f>
        <v>1 - Caixa de Emergência</v>
      </c>
      <c r="G4" s="25" t="s">
        <v>8</v>
      </c>
      <c r="I4" s="7" t="s">
        <v>236</v>
      </c>
      <c r="J4" s="7">
        <v>14</v>
      </c>
      <c r="K4" s="7" t="str">
        <f>IF(tbRegras[[#This Row],[Código]]="","",IFERROR(INDEX(tbCategorias[Subcategoria],MATCH(tbRegras[[#This Row],[Código]],tbCategorias[Código],0)),"CÓDIGO INVÁLIDO"))</f>
        <v>Pedidos iFood</v>
      </c>
    </row>
    <row r="5" spans="1:11" x14ac:dyDescent="0.3">
      <c r="A5" s="26">
        <v>2</v>
      </c>
      <c r="B5" s="26" t="s">
        <v>8</v>
      </c>
      <c r="C5" s="26" t="s">
        <v>24</v>
      </c>
      <c r="D5" s="23" t="s">
        <v>199</v>
      </c>
      <c r="E5" s="18" t="str">
        <f>tbCategorias[[#This Row],[Código]]&amp;" - "&amp;tbCategorias[[#This Row],[Subcategoria]]</f>
        <v>2 - Despesas Fixas Inevitáveis</v>
      </c>
      <c r="G5" s="25" t="s">
        <v>9</v>
      </c>
      <c r="I5" s="7" t="s">
        <v>237</v>
      </c>
      <c r="J5" s="7">
        <v>14</v>
      </c>
      <c r="K5" s="7" t="str">
        <f>IF(tbRegras[[#This Row],[Código]]="","",IFERROR(INDEX(tbCategorias[Subcategoria],MATCH(tbRegras[[#This Row],[Código]],tbCategorias[Código],0)),"CÓDIGO INVÁLIDO"))</f>
        <v>Pedidos iFood</v>
      </c>
    </row>
    <row r="6" spans="1:11" x14ac:dyDescent="0.3">
      <c r="A6" s="26">
        <v>3</v>
      </c>
      <c r="B6" s="26" t="s">
        <v>8</v>
      </c>
      <c r="C6" s="26" t="s">
        <v>25</v>
      </c>
      <c r="D6" s="23" t="s">
        <v>199</v>
      </c>
      <c r="E6" s="18" t="str">
        <f>tbCategorias[[#This Row],[Código]]&amp;" - "&amp;tbCategorias[[#This Row],[Subcategoria]]</f>
        <v>3 - DAS (Jhenis)</v>
      </c>
      <c r="G6" s="25" t="s">
        <v>10</v>
      </c>
      <c r="I6" s="7" t="s">
        <v>238</v>
      </c>
      <c r="J6" s="7">
        <v>40</v>
      </c>
      <c r="K6" s="7" t="str">
        <f>IF(tbRegras[[#This Row],[Código]]="","",IFERROR(INDEX(tbCategorias[Subcategoria],MATCH(tbRegras[[#This Row],[Código]],tbCategorias[Código],0)),"CÓDIGO INVÁLIDO"))</f>
        <v>Aplicativos (Uber / 99)</v>
      </c>
    </row>
    <row r="7" spans="1:11" x14ac:dyDescent="0.3">
      <c r="A7" s="26">
        <v>5</v>
      </c>
      <c r="B7" s="26" t="s">
        <v>8</v>
      </c>
      <c r="C7" s="26" t="s">
        <v>26</v>
      </c>
      <c r="D7" s="23" t="s">
        <v>200</v>
      </c>
      <c r="E7" s="18" t="str">
        <f>tbCategorias[[#This Row],[Código]]&amp;" - "&amp;tbCategorias[[#This Row],[Subcategoria]]</f>
        <v>5 - Emergência Casa</v>
      </c>
      <c r="G7" s="25" t="s">
        <v>11</v>
      </c>
      <c r="I7" s="7" t="s">
        <v>239</v>
      </c>
      <c r="J7" s="7">
        <v>40</v>
      </c>
      <c r="K7" s="7" t="str">
        <f>IF(tbRegras[[#This Row],[Código]]="","",IFERROR(INDEX(tbCategorias[Subcategoria],MATCH(tbRegras[[#This Row],[Código]],tbCategorias[Código],0)),"CÓDIGO INVÁLIDO"))</f>
        <v>Aplicativos (Uber / 99)</v>
      </c>
    </row>
    <row r="8" spans="1:11" x14ac:dyDescent="0.3">
      <c r="A8" s="26">
        <v>6</v>
      </c>
      <c r="B8" s="26" t="s">
        <v>8</v>
      </c>
      <c r="C8" s="26" t="s">
        <v>27</v>
      </c>
      <c r="D8" s="23" t="s">
        <v>199</v>
      </c>
      <c r="E8" s="18" t="str">
        <f>tbCategorias[[#This Row],[Código]]&amp;" - "&amp;tbCategorias[[#This Row],[Subcategoria]]</f>
        <v>6 - Energia</v>
      </c>
      <c r="G8" s="25" t="s">
        <v>12</v>
      </c>
      <c r="I8" s="7" t="s">
        <v>240</v>
      </c>
      <c r="J8" s="7">
        <v>40</v>
      </c>
      <c r="K8" s="7" t="str">
        <f>IF(tbRegras[[#This Row],[Código]]="","",IFERROR(INDEX(tbCategorias[Subcategoria],MATCH(tbRegras[[#This Row],[Código]],tbCategorias[Código],0)),"CÓDIGO INVÁLIDO"))</f>
        <v>Aplicativos (Uber / 99)</v>
      </c>
    </row>
    <row r="9" spans="1:11" x14ac:dyDescent="0.3">
      <c r="A9" s="26">
        <v>7</v>
      </c>
      <c r="B9" s="26" t="s">
        <v>8</v>
      </c>
      <c r="C9" s="26" t="s">
        <v>28</v>
      </c>
      <c r="D9" s="23" t="s">
        <v>199</v>
      </c>
      <c r="E9" s="18" t="str">
        <f>tbCategorias[[#This Row],[Código]]&amp;" - "&amp;tbCategorias[[#This Row],[Subcategoria]]</f>
        <v>7 - Água</v>
      </c>
      <c r="G9" s="25" t="s">
        <v>13</v>
      </c>
      <c r="I9" s="7" t="s">
        <v>241</v>
      </c>
      <c r="J9" s="7">
        <v>18</v>
      </c>
      <c r="K9" s="7" t="str">
        <f>IF(tbRegras[[#This Row],[Código]]="","",IFERROR(INDEX(tbCategorias[Subcategoria],MATCH(tbRegras[[#This Row],[Código]],tbCategorias[Código],0)),"CÓDIGO INVÁLIDO"))</f>
        <v>Netflix</v>
      </c>
    </row>
    <row r="10" spans="1:11" x14ac:dyDescent="0.3">
      <c r="A10" s="26">
        <v>8</v>
      </c>
      <c r="B10" s="26" t="s">
        <v>8</v>
      </c>
      <c r="C10" s="26" t="s">
        <v>29</v>
      </c>
      <c r="D10" s="23" t="s">
        <v>199</v>
      </c>
      <c r="E10" s="18" t="str">
        <f>tbCategorias[[#This Row],[Código]]&amp;" - "&amp;tbCategorias[[#This Row],[Subcategoria]]</f>
        <v>8 - Gás</v>
      </c>
      <c r="G10" s="25" t="s">
        <v>14</v>
      </c>
      <c r="I10" s="7" t="s">
        <v>242</v>
      </c>
      <c r="J10" s="7">
        <v>19</v>
      </c>
      <c r="K10" s="7" t="str">
        <f>IF(tbRegras[[#This Row],[Código]]="","",IFERROR(INDEX(tbCategorias[Subcategoria],MATCH(tbRegras[[#This Row],[Código]],tbCategorias[Código],0)),"CÓDIGO INVÁLIDO"))</f>
        <v>Amazon Prime</v>
      </c>
    </row>
    <row r="11" spans="1:11" x14ac:dyDescent="0.3">
      <c r="A11" s="26">
        <v>10</v>
      </c>
      <c r="B11" s="26" t="s">
        <v>8</v>
      </c>
      <c r="C11" s="26" t="s">
        <v>30</v>
      </c>
      <c r="D11" s="23" t="s">
        <v>200</v>
      </c>
      <c r="E11" s="18" t="str">
        <f>tbCategorias[[#This Row],[Código]]&amp;" - "&amp;tbCategorias[[#This Row],[Subcategoria]]</f>
        <v>10 - Outras Despesas</v>
      </c>
      <c r="G11" s="25" t="s">
        <v>15</v>
      </c>
      <c r="I11" s="7" t="s">
        <v>243</v>
      </c>
      <c r="J11" s="7">
        <v>19</v>
      </c>
      <c r="K11" s="7" t="str">
        <f>IF(tbRegras[[#This Row],[Código]]="","",IFERROR(INDEX(tbCategorias[Subcategoria],MATCH(tbRegras[[#This Row],[Código]],tbCategorias[Código],0)),"CÓDIGO INVÁLIDO"))</f>
        <v>Amazon Prime</v>
      </c>
    </row>
    <row r="12" spans="1:11" x14ac:dyDescent="0.3">
      <c r="A12" s="26">
        <v>11</v>
      </c>
      <c r="B12" s="26" t="s">
        <v>9</v>
      </c>
      <c r="C12" s="26" t="s">
        <v>31</v>
      </c>
      <c r="D12" s="23" t="s">
        <v>200</v>
      </c>
      <c r="E12" s="18" t="str">
        <f>tbCategorias[[#This Row],[Código]]&amp;" - "&amp;tbCategorias[[#This Row],[Subcategoria]]</f>
        <v>11 - Supermercado</v>
      </c>
      <c r="G12" s="25" t="s">
        <v>16</v>
      </c>
      <c r="I12" s="7" t="s">
        <v>244</v>
      </c>
      <c r="J12" s="7">
        <v>20</v>
      </c>
      <c r="K12" s="7" t="str">
        <f>IF(tbRegras[[#This Row],[Código]]="","",IFERROR(INDEX(tbCategorias[Subcategoria],MATCH(tbRegras[[#This Row],[Código]],tbCategorias[Código],0)),"CÓDIGO INVÁLIDO"))</f>
        <v>Max</v>
      </c>
    </row>
    <row r="13" spans="1:11" x14ac:dyDescent="0.3">
      <c r="A13" s="26">
        <v>12</v>
      </c>
      <c r="B13" s="26" t="s">
        <v>9</v>
      </c>
      <c r="C13" s="26" t="s">
        <v>32</v>
      </c>
      <c r="D13" s="23" t="s">
        <v>200</v>
      </c>
      <c r="E13" s="18" t="str">
        <f>tbCategorias[[#This Row],[Código]]&amp;" - "&amp;tbCategorias[[#This Row],[Subcategoria]]</f>
        <v>12 - Restaurante</v>
      </c>
      <c r="G13" s="25" t="s">
        <v>17</v>
      </c>
      <c r="I13" s="7" t="s">
        <v>245</v>
      </c>
      <c r="J13" s="7">
        <v>20</v>
      </c>
      <c r="K13" s="7" t="str">
        <f>IF(tbRegras[[#This Row],[Código]]="","",IFERROR(INDEX(tbCategorias[Subcategoria],MATCH(tbRegras[[#This Row],[Código]],tbCategorias[Código],0)),"CÓDIGO INVÁLIDO"))</f>
        <v>Max</v>
      </c>
    </row>
    <row r="14" spans="1:11" x14ac:dyDescent="0.3">
      <c r="A14" s="26">
        <v>13</v>
      </c>
      <c r="B14" s="26" t="s">
        <v>9</v>
      </c>
      <c r="C14" s="26" t="s">
        <v>33</v>
      </c>
      <c r="D14" s="23" t="s">
        <v>200</v>
      </c>
      <c r="E14" s="18" t="str">
        <f>tbCategorias[[#This Row],[Código]]&amp;" - "&amp;tbCategorias[[#This Row],[Subcategoria]]</f>
        <v>13 - Café / Almoço</v>
      </c>
      <c r="G14" s="25" t="s">
        <v>18</v>
      </c>
      <c r="I14" s="7" t="s">
        <v>246</v>
      </c>
      <c r="J14" s="7">
        <v>17</v>
      </c>
      <c r="K14" s="7" t="str">
        <f>IF(tbRegras[[#This Row],[Código]]="","",IFERROR(INDEX(tbCategorias[Subcategoria],MATCH(tbRegras[[#This Row],[Código]],tbCategorias[Código],0)),"CÓDIGO INVÁLIDO"))</f>
        <v>Streaming (outros)</v>
      </c>
    </row>
    <row r="15" spans="1:11" x14ac:dyDescent="0.3">
      <c r="A15" s="26">
        <v>14</v>
      </c>
      <c r="B15" s="26" t="s">
        <v>9</v>
      </c>
      <c r="C15" s="26" t="s">
        <v>34</v>
      </c>
      <c r="D15" s="23" t="s">
        <v>200</v>
      </c>
      <c r="E15" s="18" t="str">
        <f>tbCategorias[[#This Row],[Código]]&amp;" - "&amp;tbCategorias[[#This Row],[Subcategoria]]</f>
        <v>14 - Pedidos iFood</v>
      </c>
      <c r="G15" s="25" t="s">
        <v>19</v>
      </c>
      <c r="I15" s="7" t="s">
        <v>247</v>
      </c>
      <c r="J15" s="7">
        <v>17</v>
      </c>
      <c r="K15" s="7" t="str">
        <f>IF(tbRegras[[#This Row],[Código]]="","",IFERROR(INDEX(tbCategorias[Subcategoria],MATCH(tbRegras[[#This Row],[Código]],tbCategorias[Código],0)),"CÓDIGO INVÁLIDO"))</f>
        <v>Streaming (outros)</v>
      </c>
    </row>
    <row r="16" spans="1:11" x14ac:dyDescent="0.3">
      <c r="A16" s="26">
        <v>15</v>
      </c>
      <c r="B16" s="26" t="s">
        <v>10</v>
      </c>
      <c r="C16" s="26" t="s">
        <v>35</v>
      </c>
      <c r="D16" s="23" t="s">
        <v>199</v>
      </c>
      <c r="E16" s="18" t="str">
        <f>tbCategorias[[#This Row],[Código]]&amp;" - "&amp;tbCategorias[[#This Row],[Subcategoria]]</f>
        <v>15 - Celular</v>
      </c>
      <c r="G16" s="25" t="s">
        <v>20</v>
      </c>
      <c r="I16" s="7" t="s">
        <v>248</v>
      </c>
      <c r="J16" s="7">
        <v>17</v>
      </c>
      <c r="K16" s="7" t="str">
        <f>IF(tbRegras[[#This Row],[Código]]="","",IFERROR(INDEX(tbCategorias[Subcategoria],MATCH(tbRegras[[#This Row],[Código]],tbCategorias[Código],0)),"CÓDIGO INVÁLIDO"))</f>
        <v>Streaming (outros)</v>
      </c>
    </row>
    <row r="17" spans="1:11" x14ac:dyDescent="0.3">
      <c r="A17" s="26">
        <v>16</v>
      </c>
      <c r="B17" s="26" t="s">
        <v>10</v>
      </c>
      <c r="C17" s="26" t="s">
        <v>36</v>
      </c>
      <c r="D17" s="23" t="s">
        <v>199</v>
      </c>
      <c r="E17" s="18" t="str">
        <f>tbCategorias[[#This Row],[Código]]&amp;" - "&amp;tbCategorias[[#This Row],[Subcategoria]]</f>
        <v>16 - Internet</v>
      </c>
      <c r="I17" s="7" t="s">
        <v>249</v>
      </c>
      <c r="J17" s="7">
        <v>11</v>
      </c>
      <c r="K17" s="7" t="str">
        <f>IF(tbRegras[[#This Row],[Código]]="","",IFERROR(INDEX(tbCategorias[Subcategoria],MATCH(tbRegras[[#This Row],[Código]],tbCategorias[Código],0)),"CÓDIGO INVÁLIDO"))</f>
        <v>Supermercado</v>
      </c>
    </row>
    <row r="18" spans="1:11" x14ac:dyDescent="0.3">
      <c r="A18" s="26">
        <v>17</v>
      </c>
      <c r="B18" s="26" t="s">
        <v>10</v>
      </c>
      <c r="C18" s="26" t="s">
        <v>37</v>
      </c>
      <c r="D18" s="23" t="s">
        <v>199</v>
      </c>
      <c r="E18" s="18" t="str">
        <f>tbCategorias[[#This Row],[Código]]&amp;" - "&amp;tbCategorias[[#This Row],[Subcategoria]]</f>
        <v>17 - Streaming (outros)</v>
      </c>
      <c r="I18" s="7" t="s">
        <v>250</v>
      </c>
      <c r="J18" s="7">
        <v>11</v>
      </c>
      <c r="K18" s="7" t="str">
        <f>IF(tbRegras[[#This Row],[Código]]="","",IFERROR(INDEX(tbCategorias[Subcategoria],MATCH(tbRegras[[#This Row],[Código]],tbCategorias[Código],0)),"CÓDIGO INVÁLIDO"))</f>
        <v>Supermercado</v>
      </c>
    </row>
    <row r="19" spans="1:11" x14ac:dyDescent="0.3">
      <c r="A19" s="26">
        <v>18</v>
      </c>
      <c r="B19" s="26" t="s">
        <v>10</v>
      </c>
      <c r="C19" s="26" t="s">
        <v>38</v>
      </c>
      <c r="D19" s="23" t="s">
        <v>199</v>
      </c>
      <c r="E19" s="18" t="str">
        <f>tbCategorias[[#This Row],[Código]]&amp;" - "&amp;tbCategorias[[#This Row],[Subcategoria]]</f>
        <v>18 - Netflix</v>
      </c>
      <c r="I19" s="7" t="s">
        <v>251</v>
      </c>
      <c r="J19" s="7">
        <v>11</v>
      </c>
      <c r="K19" s="7" t="str">
        <f>IF(tbRegras[[#This Row],[Código]]="","",IFERROR(INDEX(tbCategorias[Subcategoria],MATCH(tbRegras[[#This Row],[Código]],tbCategorias[Código],0)),"CÓDIGO INVÁLIDO"))</f>
        <v>Supermercado</v>
      </c>
    </row>
    <row r="20" spans="1:11" x14ac:dyDescent="0.3">
      <c r="A20" s="26">
        <v>19</v>
      </c>
      <c r="B20" s="26" t="s">
        <v>10</v>
      </c>
      <c r="C20" s="26" t="s">
        <v>39</v>
      </c>
      <c r="D20" s="23" t="s">
        <v>199</v>
      </c>
      <c r="E20" s="18" t="str">
        <f>tbCategorias[[#This Row],[Código]]&amp;" - "&amp;tbCategorias[[#This Row],[Subcategoria]]</f>
        <v>19 - Amazon Prime</v>
      </c>
      <c r="I20" s="7" t="s">
        <v>252</v>
      </c>
      <c r="J20" s="7">
        <v>11</v>
      </c>
      <c r="K20" s="7" t="str">
        <f>IF(tbRegras[[#This Row],[Código]]="","",IFERROR(INDEX(tbCategorias[Subcategoria],MATCH(tbRegras[[#This Row],[Código]],tbCategorias[Código],0)),"CÓDIGO INVÁLIDO"))</f>
        <v>Supermercado</v>
      </c>
    </row>
    <row r="21" spans="1:11" x14ac:dyDescent="0.3">
      <c r="A21" s="26">
        <v>20</v>
      </c>
      <c r="B21" s="26" t="s">
        <v>10</v>
      </c>
      <c r="C21" s="26" t="s">
        <v>40</v>
      </c>
      <c r="D21" s="23" t="s">
        <v>199</v>
      </c>
      <c r="E21" s="18" t="str">
        <f>tbCategorias[[#This Row],[Código]]&amp;" - "&amp;tbCategorias[[#This Row],[Subcategoria]]</f>
        <v>20 - Max</v>
      </c>
      <c r="I21" s="7" t="s">
        <v>253</v>
      </c>
      <c r="J21" s="7">
        <v>11</v>
      </c>
      <c r="K21" s="7" t="str">
        <f>IF(tbRegras[[#This Row],[Código]]="","",IFERROR(INDEX(tbCategorias[Subcategoria],MATCH(tbRegras[[#This Row],[Código]],tbCategorias[Código],0)),"CÓDIGO INVÁLIDO"))</f>
        <v>Supermercado</v>
      </c>
    </row>
    <row r="22" spans="1:11" x14ac:dyDescent="0.3">
      <c r="A22" s="26">
        <v>21</v>
      </c>
      <c r="B22" s="26" t="s">
        <v>11</v>
      </c>
      <c r="C22" s="26" t="s">
        <v>41</v>
      </c>
      <c r="D22" s="23" t="s">
        <v>199</v>
      </c>
      <c r="E22" s="18" t="str">
        <f>tbCategorias[[#This Row],[Código]]&amp;" - "&amp;tbCategorias[[#This Row],[Subcategoria]]</f>
        <v>21 - Academia</v>
      </c>
      <c r="I22" s="7" t="s">
        <v>254</v>
      </c>
      <c r="J22" s="7">
        <v>11</v>
      </c>
      <c r="K22" s="7" t="str">
        <f>IF(tbRegras[[#This Row],[Código]]="","",IFERROR(INDEX(tbCategorias[Subcategoria],MATCH(tbRegras[[#This Row],[Código]],tbCategorias[Código],0)),"CÓDIGO INVÁLIDO"))</f>
        <v>Supermercado</v>
      </c>
    </row>
    <row r="23" spans="1:11" x14ac:dyDescent="0.3">
      <c r="A23" s="26">
        <v>22</v>
      </c>
      <c r="B23" s="26" t="s">
        <v>11</v>
      </c>
      <c r="C23" s="26" t="s">
        <v>42</v>
      </c>
      <c r="D23" s="23" t="s">
        <v>200</v>
      </c>
      <c r="E23" s="18" t="str">
        <f>tbCategorias[[#This Row],[Código]]&amp;" - "&amp;tbCategorias[[#This Row],[Subcategoria]]</f>
        <v>22 - Emergência Médica</v>
      </c>
      <c r="I23" s="7" t="s">
        <v>255</v>
      </c>
      <c r="J23" s="7">
        <v>11</v>
      </c>
      <c r="K23" s="7" t="str">
        <f>IF(tbRegras[[#This Row],[Código]]="","",IFERROR(INDEX(tbCategorias[Subcategoria],MATCH(tbRegras[[#This Row],[Código]],tbCategorias[Código],0)),"CÓDIGO INVÁLIDO"))</f>
        <v>Supermercado</v>
      </c>
    </row>
    <row r="24" spans="1:11" x14ac:dyDescent="0.3">
      <c r="A24" s="26">
        <v>23</v>
      </c>
      <c r="B24" s="26" t="s">
        <v>11</v>
      </c>
      <c r="C24" s="26" t="s">
        <v>43</v>
      </c>
      <c r="D24" s="23" t="s">
        <v>200</v>
      </c>
      <c r="E24" s="18" t="str">
        <f>tbCategorias[[#This Row],[Código]]&amp;" - "&amp;tbCategorias[[#This Row],[Subcategoria]]</f>
        <v>23 - Emergência Dentista</v>
      </c>
      <c r="I24" s="7" t="s">
        <v>256</v>
      </c>
      <c r="J24" s="7">
        <v>13</v>
      </c>
      <c r="K24" s="7" t="str">
        <f>IF(tbRegras[[#This Row],[Código]]="","",IFERROR(INDEX(tbCategorias[Subcategoria],MATCH(tbRegras[[#This Row],[Código]],tbCategorias[Código],0)),"CÓDIGO INVÁLIDO"))</f>
        <v>Café / Almoço</v>
      </c>
    </row>
    <row r="25" spans="1:11" x14ac:dyDescent="0.3">
      <c r="A25" s="26">
        <v>24</v>
      </c>
      <c r="B25" s="26" t="s">
        <v>11</v>
      </c>
      <c r="C25" s="26" t="s">
        <v>44</v>
      </c>
      <c r="D25" s="23" t="s">
        <v>200</v>
      </c>
      <c r="E25" s="18" t="str">
        <f>tbCategorias[[#This Row],[Código]]&amp;" - "&amp;tbCategorias[[#This Row],[Subcategoria]]</f>
        <v>24 - Cosméticos</v>
      </c>
      <c r="I25" s="7" t="s">
        <v>257</v>
      </c>
      <c r="J25" s="7">
        <v>13</v>
      </c>
      <c r="K25" s="7" t="str">
        <f>IF(tbRegras[[#This Row],[Código]]="","",IFERROR(INDEX(tbCategorias[Subcategoria],MATCH(tbRegras[[#This Row],[Código]],tbCategorias[Código],0)),"CÓDIGO INVÁLIDO"))</f>
        <v>Café / Almoço</v>
      </c>
    </row>
    <row r="26" spans="1:11" x14ac:dyDescent="0.3">
      <c r="A26" s="26">
        <v>25</v>
      </c>
      <c r="B26" s="26" t="s">
        <v>11</v>
      </c>
      <c r="C26" s="26" t="s">
        <v>45</v>
      </c>
      <c r="D26" s="23" t="s">
        <v>200</v>
      </c>
      <c r="E26" s="18" t="str">
        <f>tbCategorias[[#This Row],[Código]]&amp;" - "&amp;tbCategorias[[#This Row],[Subcategoria]]</f>
        <v>25 - Dentista</v>
      </c>
      <c r="I26" s="7" t="s">
        <v>258</v>
      </c>
      <c r="J26" s="7">
        <v>12</v>
      </c>
      <c r="K26" s="7" t="str">
        <f>IF(tbRegras[[#This Row],[Código]]="","",IFERROR(INDEX(tbCategorias[Subcategoria],MATCH(tbRegras[[#This Row],[Código]],tbCategorias[Código],0)),"CÓDIGO INVÁLIDO"))</f>
        <v>Restaurante</v>
      </c>
    </row>
    <row r="27" spans="1:11" x14ac:dyDescent="0.3">
      <c r="A27" s="26">
        <v>26</v>
      </c>
      <c r="B27" s="26" t="s">
        <v>11</v>
      </c>
      <c r="C27" s="26" t="s">
        <v>46</v>
      </c>
      <c r="D27" s="23" t="s">
        <v>200</v>
      </c>
      <c r="E27" s="18" t="str">
        <f>tbCategorias[[#This Row],[Código]]&amp;" - "&amp;tbCategorias[[#This Row],[Subcategoria]]</f>
        <v>26 - Exames Médicos</v>
      </c>
      <c r="I27" s="7" t="s">
        <v>259</v>
      </c>
      <c r="J27" s="7">
        <v>27</v>
      </c>
      <c r="K27" s="7" t="str">
        <f>IF(tbRegras[[#This Row],[Código]]="","",IFERROR(INDEX(tbCategorias[Subcategoria],MATCH(tbRegras[[#This Row],[Código]],tbCategorias[Código],0)),"CÓDIGO INVÁLIDO"))</f>
        <v>Farmácia</v>
      </c>
    </row>
    <row r="28" spans="1:11" x14ac:dyDescent="0.3">
      <c r="A28" s="26">
        <v>27</v>
      </c>
      <c r="B28" s="26" t="s">
        <v>11</v>
      </c>
      <c r="C28" s="26" t="s">
        <v>47</v>
      </c>
      <c r="D28" s="23" t="s">
        <v>200</v>
      </c>
      <c r="E28" s="18" t="str">
        <f>tbCategorias[[#This Row],[Código]]&amp;" - "&amp;tbCategorias[[#This Row],[Subcategoria]]</f>
        <v>27 - Farmácia</v>
      </c>
      <c r="I28" s="7" t="s">
        <v>260</v>
      </c>
      <c r="J28" s="7">
        <v>27</v>
      </c>
      <c r="K28" s="7" t="str">
        <f>IF(tbRegras[[#This Row],[Código]]="","",IFERROR(INDEX(tbCategorias[Subcategoria],MATCH(tbRegras[[#This Row],[Código]],tbCategorias[Código],0)),"CÓDIGO INVÁLIDO"))</f>
        <v>Farmácia</v>
      </c>
    </row>
    <row r="29" spans="1:11" x14ac:dyDescent="0.3">
      <c r="A29" s="26">
        <v>28</v>
      </c>
      <c r="B29" s="26" t="s">
        <v>11</v>
      </c>
      <c r="C29" s="26" t="s">
        <v>48</v>
      </c>
      <c r="D29" s="23" t="s">
        <v>200</v>
      </c>
      <c r="E29" s="18" t="str">
        <f>tbCategorias[[#This Row],[Código]]&amp;" - "&amp;tbCategorias[[#This Row],[Subcategoria]]</f>
        <v>28 - Médico Particular</v>
      </c>
      <c r="I29" s="7" t="s">
        <v>261</v>
      </c>
      <c r="J29" s="7">
        <v>27</v>
      </c>
      <c r="K29" s="7" t="str">
        <f>IF(tbRegras[[#This Row],[Código]]="","",IFERROR(INDEX(tbCategorias[Subcategoria],MATCH(tbRegras[[#This Row],[Código]],tbCategorias[Código],0)),"CÓDIGO INVÁLIDO"))</f>
        <v>Farmácia</v>
      </c>
    </row>
    <row r="30" spans="1:11" x14ac:dyDescent="0.3">
      <c r="A30" s="26">
        <v>29</v>
      </c>
      <c r="B30" s="26" t="s">
        <v>11</v>
      </c>
      <c r="C30" s="26" t="s">
        <v>49</v>
      </c>
      <c r="D30" s="23" t="s">
        <v>200</v>
      </c>
      <c r="E30" s="18" t="str">
        <f>tbCategorias[[#This Row],[Código]]&amp;" - "&amp;tbCategorias[[#This Row],[Subcategoria]]</f>
        <v>29 - Suplementos</v>
      </c>
      <c r="I30" s="7" t="s">
        <v>262</v>
      </c>
      <c r="J30" s="7">
        <v>27</v>
      </c>
      <c r="K30" s="7" t="str">
        <f>IF(tbRegras[[#This Row],[Código]]="","",IFERROR(INDEX(tbCategorias[Subcategoria],MATCH(tbRegras[[#This Row],[Código]],tbCategorias[Código],0)),"CÓDIGO INVÁLIDO"))</f>
        <v>Farmácia</v>
      </c>
    </row>
    <row r="31" spans="1:11" x14ac:dyDescent="0.3">
      <c r="A31" s="26">
        <v>30</v>
      </c>
      <c r="B31" s="26" t="s">
        <v>11</v>
      </c>
      <c r="C31" s="26" t="s">
        <v>50</v>
      </c>
      <c r="D31" s="23" t="s">
        <v>200</v>
      </c>
      <c r="E31" s="18" t="str">
        <f>tbCategorias[[#This Row],[Código]]&amp;" - "&amp;tbCategorias[[#This Row],[Subcategoria]]</f>
        <v>30 - Outros Saúde</v>
      </c>
      <c r="I31" s="7" t="s">
        <v>263</v>
      </c>
      <c r="J31" s="7">
        <v>6</v>
      </c>
      <c r="K31" s="7" t="str">
        <f>IF(tbRegras[[#This Row],[Código]]="","",IFERROR(INDEX(tbCategorias[Subcategoria],MATCH(tbRegras[[#This Row],[Código]],tbCategorias[Código],0)),"CÓDIGO INVÁLIDO"))</f>
        <v>Energia</v>
      </c>
    </row>
    <row r="32" spans="1:11" x14ac:dyDescent="0.3">
      <c r="A32" s="26">
        <v>31</v>
      </c>
      <c r="B32" s="26" t="s">
        <v>12</v>
      </c>
      <c r="C32" s="26" t="s">
        <v>51</v>
      </c>
      <c r="D32" s="23" t="s">
        <v>200</v>
      </c>
      <c r="E32" s="18" t="str">
        <f>tbCategorias[[#This Row],[Código]]&amp;" - "&amp;tbCategorias[[#This Row],[Subcategoria]]</f>
        <v>31 - Roupas</v>
      </c>
      <c r="I32" s="7" t="s">
        <v>264</v>
      </c>
      <c r="J32" s="7">
        <v>6</v>
      </c>
      <c r="K32" s="7" t="str">
        <f>IF(tbRegras[[#This Row],[Código]]="","",IFERROR(INDEX(tbCategorias[Subcategoria],MATCH(tbRegras[[#This Row],[Código]],tbCategorias[Código],0)),"CÓDIGO INVÁLIDO"))</f>
        <v>Energia</v>
      </c>
    </row>
    <row r="33" spans="1:11" x14ac:dyDescent="0.3">
      <c r="A33" s="26">
        <v>32</v>
      </c>
      <c r="B33" s="26" t="s">
        <v>12</v>
      </c>
      <c r="C33" s="26" t="s">
        <v>52</v>
      </c>
      <c r="D33" s="23" t="s">
        <v>200</v>
      </c>
      <c r="E33" s="18" t="str">
        <f>tbCategorias[[#This Row],[Código]]&amp;" - "&amp;tbCategorias[[#This Row],[Subcategoria]]</f>
        <v>32 - Sapatos</v>
      </c>
      <c r="I33" s="7" t="s">
        <v>265</v>
      </c>
      <c r="J33" s="7">
        <v>6</v>
      </c>
      <c r="K33" s="7" t="str">
        <f>IF(tbRegras[[#This Row],[Código]]="","",IFERROR(INDEX(tbCategorias[Subcategoria],MATCH(tbRegras[[#This Row],[Código]],tbCategorias[Código],0)),"CÓDIGO INVÁLIDO"))</f>
        <v>Energia</v>
      </c>
    </row>
    <row r="34" spans="1:11" x14ac:dyDescent="0.3">
      <c r="A34" s="26">
        <v>33</v>
      </c>
      <c r="B34" s="26" t="s">
        <v>12</v>
      </c>
      <c r="C34" s="26" t="s">
        <v>53</v>
      </c>
      <c r="D34" s="23" t="s">
        <v>200</v>
      </c>
      <c r="E34" s="18" t="str">
        <f>tbCategorias[[#This Row],[Código]]&amp;" - "&amp;tbCategorias[[#This Row],[Subcategoria]]</f>
        <v>33 - Outros Vestuário</v>
      </c>
      <c r="I34" s="7" t="s">
        <v>266</v>
      </c>
      <c r="J34" s="7">
        <v>6</v>
      </c>
      <c r="K34" s="7" t="str">
        <f>IF(tbRegras[[#This Row],[Código]]="","",IFERROR(INDEX(tbCategorias[Subcategoria],MATCH(tbRegras[[#This Row],[Código]],tbCategorias[Código],0)),"CÓDIGO INVÁLIDO"))</f>
        <v>Energia</v>
      </c>
    </row>
    <row r="35" spans="1:11" x14ac:dyDescent="0.3">
      <c r="A35" s="26">
        <v>40</v>
      </c>
      <c r="B35" s="26" t="s">
        <v>13</v>
      </c>
      <c r="C35" s="26" t="s">
        <v>54</v>
      </c>
      <c r="D35" s="23" t="s">
        <v>200</v>
      </c>
      <c r="E35" s="18" t="str">
        <f>tbCategorias[[#This Row],[Código]]&amp;" - "&amp;tbCategorias[[#This Row],[Subcategoria]]</f>
        <v>40 - Aplicativos (Uber / 99)</v>
      </c>
      <c r="I35" s="7" t="s">
        <v>267</v>
      </c>
      <c r="J35" s="7">
        <v>6</v>
      </c>
      <c r="K35" s="7" t="str">
        <f>IF(tbRegras[[#This Row],[Código]]="","",IFERROR(INDEX(tbCategorias[Subcategoria],MATCH(tbRegras[[#This Row],[Código]],tbCategorias[Código],0)),"CÓDIGO INVÁLIDO"))</f>
        <v>Energia</v>
      </c>
    </row>
    <row r="36" spans="1:11" x14ac:dyDescent="0.3">
      <c r="A36" s="26">
        <v>42</v>
      </c>
      <c r="B36" s="26" t="s">
        <v>13</v>
      </c>
      <c r="C36" s="26" t="s">
        <v>55</v>
      </c>
      <c r="D36" s="23" t="s">
        <v>200</v>
      </c>
      <c r="E36" s="18" t="str">
        <f>tbCategorias[[#This Row],[Código]]&amp;" - "&amp;tbCategorias[[#This Row],[Subcategoria]]</f>
        <v>42 - Transporte Público</v>
      </c>
      <c r="I36" s="7" t="s">
        <v>268</v>
      </c>
      <c r="J36" s="7">
        <v>7</v>
      </c>
      <c r="K36" s="7" t="str">
        <f>IF(tbRegras[[#This Row],[Código]]="","",IFERROR(INDEX(tbCategorias[Subcategoria],MATCH(tbRegras[[#This Row],[Código]],tbCategorias[Código],0)),"CÓDIGO INVÁLIDO"))</f>
        <v>Água</v>
      </c>
    </row>
    <row r="37" spans="1:11" x14ac:dyDescent="0.3">
      <c r="A37" s="26">
        <v>43</v>
      </c>
      <c r="B37" s="26" t="s">
        <v>13</v>
      </c>
      <c r="C37" s="26" t="s">
        <v>56</v>
      </c>
      <c r="D37" s="23" t="s">
        <v>200</v>
      </c>
      <c r="E37" s="18" t="str">
        <f>tbCategorias[[#This Row],[Código]]&amp;" - "&amp;tbCategorias[[#This Row],[Subcategoria]]</f>
        <v>43 - Transporte Trabalho (Jhenis)</v>
      </c>
      <c r="I37" s="7" t="s">
        <v>269</v>
      </c>
      <c r="J37" s="7">
        <v>7</v>
      </c>
      <c r="K37" s="7" t="str">
        <f>IF(tbRegras[[#This Row],[Código]]="","",IFERROR(INDEX(tbCategorias[Subcategoria],MATCH(tbRegras[[#This Row],[Código]],tbCategorias[Código],0)),"CÓDIGO INVÁLIDO"))</f>
        <v>Água</v>
      </c>
    </row>
    <row r="38" spans="1:11" x14ac:dyDescent="0.3">
      <c r="A38" s="26">
        <v>44</v>
      </c>
      <c r="B38" s="26" t="s">
        <v>13</v>
      </c>
      <c r="C38" s="26" t="s">
        <v>57</v>
      </c>
      <c r="D38" s="23" t="s">
        <v>200</v>
      </c>
      <c r="E38" s="18" t="str">
        <f>tbCategorias[[#This Row],[Código]]&amp;" - "&amp;tbCategorias[[#This Row],[Subcategoria]]</f>
        <v>44 - Transporte Trabalho (Matheus)</v>
      </c>
      <c r="I38" s="7" t="s">
        <v>270</v>
      </c>
      <c r="J38" s="7">
        <v>7</v>
      </c>
      <c r="K38" s="7" t="str">
        <f>IF(tbRegras[[#This Row],[Código]]="","",IFERROR(INDEX(tbCategorias[Subcategoria],MATCH(tbRegras[[#This Row],[Código]],tbCategorias[Código],0)),"CÓDIGO INVÁLIDO"))</f>
        <v>Água</v>
      </c>
    </row>
    <row r="39" spans="1:11" x14ac:dyDescent="0.3">
      <c r="A39" s="26">
        <v>45</v>
      </c>
      <c r="B39" s="26" t="s">
        <v>13</v>
      </c>
      <c r="C39" s="26" t="s">
        <v>58</v>
      </c>
      <c r="D39" s="23" t="s">
        <v>200</v>
      </c>
      <c r="E39" s="18" t="str">
        <f>tbCategorias[[#This Row],[Código]]&amp;" - "&amp;tbCategorias[[#This Row],[Subcategoria]]</f>
        <v>45 - Caixa Carro (Jhenis)</v>
      </c>
      <c r="I39" s="7" t="s">
        <v>271</v>
      </c>
      <c r="J39" s="7">
        <v>7</v>
      </c>
      <c r="K39" s="7" t="str">
        <f>IF(tbRegras[[#This Row],[Código]]="","",IFERROR(INDEX(tbCategorias[Subcategoria],MATCH(tbRegras[[#This Row],[Código]],tbCategorias[Código],0)),"CÓDIGO INVÁLIDO"))</f>
        <v>Água</v>
      </c>
    </row>
    <row r="40" spans="1:11" x14ac:dyDescent="0.3">
      <c r="A40" s="26">
        <v>46</v>
      </c>
      <c r="B40" s="26" t="s">
        <v>13</v>
      </c>
      <c r="C40" s="26" t="s">
        <v>59</v>
      </c>
      <c r="D40" s="23" t="s">
        <v>200</v>
      </c>
      <c r="E40" s="18" t="str">
        <f>tbCategorias[[#This Row],[Código]]&amp;" - "&amp;tbCategorias[[#This Row],[Subcategoria]]</f>
        <v>46 - Caixa Carro (Matheus)</v>
      </c>
      <c r="I40" s="7" t="s">
        <v>272</v>
      </c>
      <c r="J40" s="7">
        <v>8</v>
      </c>
      <c r="K40" s="7" t="str">
        <f>IF(tbRegras[[#This Row],[Código]]="","",IFERROR(INDEX(tbCategorias[Subcategoria],MATCH(tbRegras[[#This Row],[Código]],tbCategorias[Código],0)),"CÓDIGO INVÁLIDO"))</f>
        <v>Gás</v>
      </c>
    </row>
    <row r="41" spans="1:11" x14ac:dyDescent="0.3">
      <c r="A41" s="26">
        <v>51</v>
      </c>
      <c r="B41" s="26" t="s">
        <v>13</v>
      </c>
      <c r="C41" s="26" t="s">
        <v>60</v>
      </c>
      <c r="D41" s="23" t="s">
        <v>200</v>
      </c>
      <c r="E41" s="18" t="str">
        <f>tbCategorias[[#This Row],[Código]]&amp;" - "&amp;tbCategorias[[#This Row],[Subcategoria]]</f>
        <v>51 - Outros Transporte</v>
      </c>
      <c r="I41" s="7" t="s">
        <v>273</v>
      </c>
      <c r="J41" s="7">
        <v>8</v>
      </c>
      <c r="K41" s="7" t="str">
        <f>IF(tbRegras[[#This Row],[Código]]="","",IFERROR(INDEX(tbCategorias[Subcategoria],MATCH(tbRegras[[#This Row],[Código]],tbCategorias[Código],0)),"CÓDIGO INVÁLIDO"))</f>
        <v>Gás</v>
      </c>
    </row>
    <row r="42" spans="1:11" x14ac:dyDescent="0.3">
      <c r="A42" s="26">
        <v>52</v>
      </c>
      <c r="B42" s="26" t="s">
        <v>14</v>
      </c>
      <c r="C42" s="26" t="s">
        <v>61</v>
      </c>
      <c r="D42" s="23" t="s">
        <v>200</v>
      </c>
      <c r="E42" s="18" t="str">
        <f>tbCategorias[[#This Row],[Código]]&amp;" - "&amp;tbCategorias[[#This Row],[Subcategoria]]</f>
        <v>52 - Mensalidades</v>
      </c>
      <c r="I42" s="7" t="s">
        <v>274</v>
      </c>
      <c r="J42" s="7">
        <v>8</v>
      </c>
      <c r="K42" s="7" t="str">
        <f>IF(tbRegras[[#This Row],[Código]]="","",IFERROR(INDEX(tbCategorias[Subcategoria],MATCH(tbRegras[[#This Row],[Código]],tbCategorias[Código],0)),"CÓDIGO INVÁLIDO"))</f>
        <v>Gás</v>
      </c>
    </row>
    <row r="43" spans="1:11" x14ac:dyDescent="0.3">
      <c r="A43" s="26">
        <v>53</v>
      </c>
      <c r="B43" s="26" t="s">
        <v>14</v>
      </c>
      <c r="C43" s="26" t="s">
        <v>62</v>
      </c>
      <c r="D43" s="23" t="s">
        <v>200</v>
      </c>
      <c r="E43" s="18" t="str">
        <f>tbCategorias[[#This Row],[Código]]&amp;" - "&amp;tbCategorias[[#This Row],[Subcategoria]]</f>
        <v>53 - Idiomas</v>
      </c>
      <c r="I43" s="7" t="s">
        <v>275</v>
      </c>
      <c r="J43" s="7">
        <v>15</v>
      </c>
      <c r="K43" s="7" t="str">
        <f>IF(tbRegras[[#This Row],[Código]]="","",IFERROR(INDEX(tbCategorias[Subcategoria],MATCH(tbRegras[[#This Row],[Código]],tbCategorias[Código],0)),"CÓDIGO INVÁLIDO"))</f>
        <v>Celular</v>
      </c>
    </row>
    <row r="44" spans="1:11" x14ac:dyDescent="0.3">
      <c r="A44" s="26">
        <v>54</v>
      </c>
      <c r="B44" s="26" t="s">
        <v>14</v>
      </c>
      <c r="C44" s="26" t="s">
        <v>63</v>
      </c>
      <c r="D44" s="23" t="s">
        <v>200</v>
      </c>
      <c r="E44" s="18" t="str">
        <f>tbCategorias[[#This Row],[Código]]&amp;" - "&amp;tbCategorias[[#This Row],[Subcategoria]]</f>
        <v>54 - CNH (Matheus)</v>
      </c>
      <c r="I44" s="7" t="s">
        <v>276</v>
      </c>
      <c r="J44" s="7">
        <v>15</v>
      </c>
      <c r="K44" s="7" t="str">
        <f>IF(tbRegras[[#This Row],[Código]]="","",IFERROR(INDEX(tbCategorias[Subcategoria],MATCH(tbRegras[[#This Row],[Código]],tbCategorias[Código],0)),"CÓDIGO INVÁLIDO"))</f>
        <v>Celular</v>
      </c>
    </row>
    <row r="45" spans="1:11" x14ac:dyDescent="0.3">
      <c r="A45" s="26">
        <v>55</v>
      </c>
      <c r="B45" s="26" t="s">
        <v>14</v>
      </c>
      <c r="C45" s="26" t="s">
        <v>64</v>
      </c>
      <c r="D45" s="23" t="s">
        <v>199</v>
      </c>
      <c r="E45" s="18" t="str">
        <f>tbCategorias[[#This Row],[Código]]&amp;" - "&amp;tbCategorias[[#This Row],[Subcategoria]]</f>
        <v>55 - Cursos</v>
      </c>
      <c r="I45" s="7" t="s">
        <v>277</v>
      </c>
      <c r="J45" s="7">
        <v>21</v>
      </c>
      <c r="K45" s="7" t="str">
        <f>IF(tbRegras[[#This Row],[Código]]="","",IFERROR(INDEX(tbCategorias[Subcategoria],MATCH(tbRegras[[#This Row],[Código]],tbCategorias[Código],0)),"CÓDIGO INVÁLIDO"))</f>
        <v>Academia</v>
      </c>
    </row>
    <row r="46" spans="1:11" x14ac:dyDescent="0.3">
      <c r="A46" s="26">
        <v>56</v>
      </c>
      <c r="B46" s="26" t="s">
        <v>14</v>
      </c>
      <c r="C46" s="26" t="s">
        <v>65</v>
      </c>
      <c r="D46" s="23" t="s">
        <v>200</v>
      </c>
      <c r="E46" s="18" t="str">
        <f>tbCategorias[[#This Row],[Código]]&amp;" - "&amp;tbCategorias[[#This Row],[Subcategoria]]</f>
        <v>56 - Livros</v>
      </c>
      <c r="I46" s="7" t="s">
        <v>278</v>
      </c>
      <c r="J46" s="7">
        <v>21</v>
      </c>
      <c r="K46" s="7" t="str">
        <f>IF(tbRegras[[#This Row],[Código]]="","",IFERROR(INDEX(tbCategorias[Subcategoria],MATCH(tbRegras[[#This Row],[Código]],tbCategorias[Código],0)),"CÓDIGO INVÁLIDO"))</f>
        <v>Academia</v>
      </c>
    </row>
    <row r="47" spans="1:11" x14ac:dyDescent="0.3">
      <c r="A47" s="26">
        <v>57</v>
      </c>
      <c r="B47" s="26" t="s">
        <v>14</v>
      </c>
      <c r="C47" s="26" t="s">
        <v>66</v>
      </c>
      <c r="D47" s="23" t="s">
        <v>200</v>
      </c>
      <c r="E47" s="18" t="str">
        <f>tbCategorias[[#This Row],[Código]]&amp;" - "&amp;tbCategorias[[#This Row],[Subcategoria]]</f>
        <v>57 - Faculdade (Jhenis)</v>
      </c>
      <c r="I47" s="7" t="s">
        <v>279</v>
      </c>
      <c r="J47" s="7">
        <v>21</v>
      </c>
      <c r="K47" s="7" t="str">
        <f>IF(tbRegras[[#This Row],[Código]]="","",IFERROR(INDEX(tbCategorias[Subcategoria],MATCH(tbRegras[[#This Row],[Código]],tbCategorias[Código],0)),"CÓDIGO INVÁLIDO"))</f>
        <v>Academia</v>
      </c>
    </row>
    <row r="48" spans="1:11" x14ac:dyDescent="0.3">
      <c r="A48" s="26">
        <v>58</v>
      </c>
      <c r="B48" s="26" t="s">
        <v>14</v>
      </c>
      <c r="C48" s="26" t="s">
        <v>67</v>
      </c>
      <c r="D48" s="23" t="s">
        <v>200</v>
      </c>
      <c r="E48" s="18" t="str">
        <f>tbCategorias[[#This Row],[Código]]&amp;" - "&amp;tbCategorias[[#This Row],[Subcategoria]]</f>
        <v>58 - Outros Educação</v>
      </c>
      <c r="I48" s="7" t="s">
        <v>280</v>
      </c>
      <c r="J48" s="7">
        <v>60</v>
      </c>
      <c r="K48" s="7" t="str">
        <f>IF(tbRegras[[#This Row],[Código]]="","",IFERROR(INDEX(tbCategorias[Subcategoria],MATCH(tbRegras[[#This Row],[Código]],tbCategorias[Código],0)),"CÓDIGO INVÁLIDO"))</f>
        <v>Cinema</v>
      </c>
    </row>
    <row r="49" spans="1:11" x14ac:dyDescent="0.3">
      <c r="A49" s="26">
        <v>60</v>
      </c>
      <c r="B49" s="26" t="s">
        <v>15</v>
      </c>
      <c r="C49" s="26" t="s">
        <v>68</v>
      </c>
      <c r="D49" s="23" t="s">
        <v>200</v>
      </c>
      <c r="E49" s="18" t="str">
        <f>tbCategorias[[#This Row],[Código]]&amp;" - "&amp;tbCategorias[[#This Row],[Subcategoria]]</f>
        <v>60 - Cinema</v>
      </c>
      <c r="I49" s="7" t="s">
        <v>281</v>
      </c>
      <c r="J49" s="7">
        <v>60</v>
      </c>
      <c r="K49" s="7" t="str">
        <f>IF(tbRegras[[#This Row],[Código]]="","",IFERROR(INDEX(tbCategorias[Subcategoria],MATCH(tbRegras[[#This Row],[Código]],tbCategorias[Código],0)),"CÓDIGO INVÁLIDO"))</f>
        <v>Cinema</v>
      </c>
    </row>
    <row r="50" spans="1:11" x14ac:dyDescent="0.3">
      <c r="A50" s="26">
        <v>61</v>
      </c>
      <c r="B50" s="26" t="s">
        <v>15</v>
      </c>
      <c r="C50" s="26" t="s">
        <v>69</v>
      </c>
      <c r="D50" s="23" t="s">
        <v>200</v>
      </c>
      <c r="E50" s="18" t="str">
        <f>tbCategorias[[#This Row],[Código]]&amp;" - "&amp;tbCategorias[[#This Row],[Subcategoria]]</f>
        <v>61 - Esportes</v>
      </c>
      <c r="I50" s="7" t="s">
        <v>282</v>
      </c>
      <c r="J50" s="7">
        <v>60</v>
      </c>
      <c r="K50" s="7" t="str">
        <f>IF(tbRegras[[#This Row],[Código]]="","",IFERROR(INDEX(tbCategorias[Subcategoria],MATCH(tbRegras[[#This Row],[Código]],tbCategorias[Código],0)),"CÓDIGO INVÁLIDO"))</f>
        <v>Cinema</v>
      </c>
    </row>
    <row r="51" spans="1:11" x14ac:dyDescent="0.3">
      <c r="A51" s="26">
        <v>62</v>
      </c>
      <c r="B51" s="26" t="s">
        <v>15</v>
      </c>
      <c r="C51" s="26" t="s">
        <v>70</v>
      </c>
      <c r="D51" s="23" t="s">
        <v>200</v>
      </c>
      <c r="E51" s="18" t="str">
        <f>tbCategorias[[#This Row],[Código]]&amp;" - "&amp;tbCategorias[[#This Row],[Subcategoria]]</f>
        <v>62 - Shows / Concertos</v>
      </c>
      <c r="I51" s="7" t="s">
        <v>283</v>
      </c>
      <c r="J51" s="7">
        <v>31</v>
      </c>
      <c r="K51" s="7" t="str">
        <f>IF(tbRegras[[#This Row],[Código]]="","",IFERROR(INDEX(tbCategorias[Subcategoria],MATCH(tbRegras[[#This Row],[Código]],tbCategorias[Código],0)),"CÓDIGO INVÁLIDO"))</f>
        <v>Roupas</v>
      </c>
    </row>
    <row r="52" spans="1:11" x14ac:dyDescent="0.3">
      <c r="A52" s="26">
        <v>63</v>
      </c>
      <c r="B52" s="26" t="s">
        <v>15</v>
      </c>
      <c r="C52" s="26" t="s">
        <v>71</v>
      </c>
      <c r="D52" s="23" t="s">
        <v>200</v>
      </c>
      <c r="E52" s="18" t="str">
        <f>tbCategorias[[#This Row],[Código]]&amp;" - "&amp;tbCategorias[[#This Row],[Subcategoria]]</f>
        <v>63 - Viagens / Férias</v>
      </c>
      <c r="I52" s="7" t="s">
        <v>284</v>
      </c>
      <c r="J52" s="7">
        <v>31</v>
      </c>
      <c r="K52" s="7" t="str">
        <f>IF(tbRegras[[#This Row],[Código]]="","",IFERROR(INDEX(tbCategorias[Subcategoria],MATCH(tbRegras[[#This Row],[Código]],tbCategorias[Código],0)),"CÓDIGO INVÁLIDO"))</f>
        <v>Roupas</v>
      </c>
    </row>
    <row r="53" spans="1:11" x14ac:dyDescent="0.3">
      <c r="A53" s="26">
        <v>64</v>
      </c>
      <c r="B53" s="26" t="s">
        <v>15</v>
      </c>
      <c r="C53" s="26" t="s">
        <v>72</v>
      </c>
      <c r="D53" s="23" t="s">
        <v>200</v>
      </c>
      <c r="E53" s="18" t="str">
        <f>tbCategorias[[#This Row],[Código]]&amp;" - "&amp;tbCategorias[[#This Row],[Subcategoria]]</f>
        <v>64 - Outros Lazer</v>
      </c>
      <c r="I53" s="7" t="s">
        <v>285</v>
      </c>
      <c r="J53" s="7">
        <v>31</v>
      </c>
      <c r="K53" s="7" t="str">
        <f>IF(tbRegras[[#This Row],[Código]]="","",IFERROR(INDEX(tbCategorias[Subcategoria],MATCH(tbRegras[[#This Row],[Código]],tbCategorias[Código],0)),"CÓDIGO INVÁLIDO"))</f>
        <v>Roupas</v>
      </c>
    </row>
    <row r="54" spans="1:11" x14ac:dyDescent="0.3">
      <c r="A54" s="26">
        <v>70</v>
      </c>
      <c r="B54" s="26" t="s">
        <v>16</v>
      </c>
      <c r="C54" s="26" t="s">
        <v>73</v>
      </c>
      <c r="D54" s="23" t="s">
        <v>200</v>
      </c>
      <c r="E54" s="18" t="str">
        <f>tbCategorias[[#This Row],[Código]]&amp;" - "&amp;tbCategorias[[#This Row],[Subcategoria]]</f>
        <v>70 - Cama</v>
      </c>
    </row>
    <row r="55" spans="1:11" x14ac:dyDescent="0.3">
      <c r="A55" s="26">
        <v>71</v>
      </c>
      <c r="B55" s="26" t="s">
        <v>16</v>
      </c>
      <c r="C55" s="26" t="s">
        <v>74</v>
      </c>
      <c r="D55" s="23" t="s">
        <v>200</v>
      </c>
      <c r="E55" s="18" t="str">
        <f>tbCategorias[[#This Row],[Código]]&amp;" - "&amp;tbCategorias[[#This Row],[Subcategoria]]</f>
        <v>71 - Consertos Futuros</v>
      </c>
    </row>
    <row r="56" spans="1:11" x14ac:dyDescent="0.3">
      <c r="A56" s="26">
        <v>72</v>
      </c>
      <c r="B56" s="26" t="s">
        <v>16</v>
      </c>
      <c r="C56" s="26" t="s">
        <v>75</v>
      </c>
      <c r="D56" s="23" t="s">
        <v>200</v>
      </c>
      <c r="E56" s="18" t="str">
        <f>tbCategorias[[#This Row],[Código]]&amp;" - "&amp;tbCategorias[[#This Row],[Subcategoria]]</f>
        <v>72 - Geladeira</v>
      </c>
    </row>
    <row r="57" spans="1:11" x14ac:dyDescent="0.3">
      <c r="A57" s="26">
        <v>73</v>
      </c>
      <c r="B57" s="26" t="s">
        <v>16</v>
      </c>
      <c r="C57" s="26" t="s">
        <v>76</v>
      </c>
      <c r="D57" s="23" t="s">
        <v>200</v>
      </c>
      <c r="E57" s="18" t="str">
        <f>tbCategorias[[#This Row],[Código]]&amp;" - "&amp;tbCategorias[[#This Row],[Subcategoria]]</f>
        <v>73 - Lava e Seca</v>
      </c>
    </row>
    <row r="58" spans="1:11" x14ac:dyDescent="0.3">
      <c r="A58" s="26">
        <v>74</v>
      </c>
      <c r="B58" s="26" t="s">
        <v>16</v>
      </c>
      <c r="C58" s="26" t="s">
        <v>77</v>
      </c>
      <c r="D58" s="23" t="s">
        <v>200</v>
      </c>
      <c r="E58" s="18" t="str">
        <f>tbCategorias[[#This Row],[Código]]&amp;" - "&amp;tbCategorias[[#This Row],[Subcategoria]]</f>
        <v>74 - Lava-louças</v>
      </c>
    </row>
    <row r="59" spans="1:11" x14ac:dyDescent="0.3">
      <c r="A59" s="26">
        <v>75</v>
      </c>
      <c r="B59" s="26" t="s">
        <v>16</v>
      </c>
      <c r="C59" s="26" t="s">
        <v>78</v>
      </c>
      <c r="D59" s="23" t="s">
        <v>200</v>
      </c>
      <c r="E59" s="18" t="str">
        <f>tbCategorias[[#This Row],[Código]]&amp;" - "&amp;tbCategorias[[#This Row],[Subcategoria]]</f>
        <v>75 - Utensílios e Decoração</v>
      </c>
    </row>
    <row r="60" spans="1:11" x14ac:dyDescent="0.3">
      <c r="A60" s="26">
        <v>76</v>
      </c>
      <c r="B60" s="26" t="s">
        <v>16</v>
      </c>
      <c r="C60" s="26" t="s">
        <v>79</v>
      </c>
      <c r="D60" s="23" t="s">
        <v>200</v>
      </c>
      <c r="E60" s="18" t="str">
        <f>tbCategorias[[#This Row],[Código]]&amp;" - "&amp;tbCategorias[[#This Row],[Subcategoria]]</f>
        <v>76 - Outros Artigos</v>
      </c>
    </row>
    <row r="61" spans="1:11" x14ac:dyDescent="0.3">
      <c r="A61" s="26">
        <v>80</v>
      </c>
      <c r="B61" s="26" t="s">
        <v>17</v>
      </c>
      <c r="C61" s="26" t="s">
        <v>80</v>
      </c>
      <c r="D61" s="23" t="s">
        <v>200</v>
      </c>
      <c r="E61" s="18" t="str">
        <f>tbCategorias[[#This Row],[Código]]&amp;" - "&amp;tbCategorias[[#This Row],[Subcategoria]]</f>
        <v>80 - Presentes</v>
      </c>
    </row>
    <row r="62" spans="1:11" x14ac:dyDescent="0.3">
      <c r="A62" s="26">
        <v>81</v>
      </c>
      <c r="B62" s="26" t="s">
        <v>17</v>
      </c>
      <c r="C62" s="26" t="s">
        <v>81</v>
      </c>
      <c r="D62" s="23" t="s">
        <v>200</v>
      </c>
      <c r="E62" s="18" t="str">
        <f>tbCategorias[[#This Row],[Código]]&amp;" - "&amp;tbCategorias[[#This Row],[Subcategoria]]</f>
        <v>81 - Doações</v>
      </c>
    </row>
    <row r="63" spans="1:11" x14ac:dyDescent="0.3">
      <c r="A63" s="26">
        <v>82</v>
      </c>
      <c r="B63" s="26" t="s">
        <v>17</v>
      </c>
      <c r="C63" s="26" t="s">
        <v>82</v>
      </c>
      <c r="D63" s="23" t="s">
        <v>200</v>
      </c>
      <c r="E63" s="18" t="str">
        <f>tbCategorias[[#This Row],[Código]]&amp;" - "&amp;tbCategorias[[#This Row],[Subcategoria]]</f>
        <v>82 - Ensaio</v>
      </c>
    </row>
    <row r="64" spans="1:11" x14ac:dyDescent="0.3">
      <c r="A64" s="26">
        <v>83</v>
      </c>
      <c r="B64" s="26" t="s">
        <v>17</v>
      </c>
      <c r="C64" s="26" t="s">
        <v>17</v>
      </c>
      <c r="D64" s="23" t="s">
        <v>200</v>
      </c>
      <c r="E64" s="18" t="str">
        <f>tbCategorias[[#This Row],[Código]]&amp;" - "&amp;tbCategorias[[#This Row],[Subcategoria]]</f>
        <v>83 - Outros</v>
      </c>
    </row>
    <row r="65" spans="1:5" x14ac:dyDescent="0.3">
      <c r="A65" s="26">
        <v>4</v>
      </c>
      <c r="B65" s="26" t="s">
        <v>18</v>
      </c>
      <c r="C65" s="26" t="s">
        <v>83</v>
      </c>
      <c r="D65" s="23" t="s">
        <v>199</v>
      </c>
      <c r="E65" s="18" t="str">
        <f>tbCategorias[[#This Row],[Código]]&amp;" - "&amp;tbCategorias[[#This Row],[Subcategoria]]</f>
        <v>4 - Cartão Jhenismara</v>
      </c>
    </row>
    <row r="66" spans="1:5" x14ac:dyDescent="0.3">
      <c r="A66" s="26">
        <v>9</v>
      </c>
      <c r="B66" s="26" t="s">
        <v>18</v>
      </c>
      <c r="C66" s="26" t="s">
        <v>84</v>
      </c>
      <c r="D66" s="23" t="s">
        <v>199</v>
      </c>
      <c r="E66" s="18" t="str">
        <f>tbCategorias[[#This Row],[Código]]&amp;" - "&amp;tbCategorias[[#This Row],[Subcategoria]]</f>
        <v>9 - Cartão Matheus</v>
      </c>
    </row>
    <row r="67" spans="1:5" x14ac:dyDescent="0.3">
      <c r="A67" s="26">
        <v>84</v>
      </c>
      <c r="B67" s="26" t="s">
        <v>18</v>
      </c>
      <c r="C67" s="26" t="s">
        <v>85</v>
      </c>
      <c r="D67" s="23" t="s">
        <v>200</v>
      </c>
      <c r="E67" s="18" t="str">
        <f>tbCategorias[[#This Row],[Código]]&amp;" - "&amp;tbCategorias[[#This Row],[Subcategoria]]</f>
        <v>84 - Casas Bahia (Matheus)</v>
      </c>
    </row>
    <row r="68" spans="1:5" x14ac:dyDescent="0.3">
      <c r="A68" s="26">
        <v>85</v>
      </c>
      <c r="B68" s="26" t="s">
        <v>18</v>
      </c>
      <c r="C68" s="26" t="s">
        <v>86</v>
      </c>
      <c r="D68" s="23" t="s">
        <v>200</v>
      </c>
      <c r="E68" s="18" t="str">
        <f>tbCategorias[[#This Row],[Código]]&amp;" - "&amp;tbCategorias[[#This Row],[Subcategoria]]</f>
        <v>85 - Faculdade (Matheus)</v>
      </c>
    </row>
    <row r="69" spans="1:5" x14ac:dyDescent="0.3">
      <c r="A69" s="26">
        <v>86</v>
      </c>
      <c r="B69" s="26" t="s">
        <v>18</v>
      </c>
      <c r="C69" s="26" t="s">
        <v>87</v>
      </c>
      <c r="D69" s="23" t="s">
        <v>200</v>
      </c>
      <c r="E69" s="18" t="str">
        <f>tbCategorias[[#This Row],[Código]]&amp;" - "&amp;tbCategorias[[#This Row],[Subcategoria]]</f>
        <v>86 - Magalu (Matheus)</v>
      </c>
    </row>
    <row r="70" spans="1:5" x14ac:dyDescent="0.3">
      <c r="A70" s="26">
        <v>87</v>
      </c>
      <c r="B70" s="26" t="s">
        <v>18</v>
      </c>
      <c r="C70" s="26" t="s">
        <v>88</v>
      </c>
      <c r="D70" s="23" t="s">
        <v>200</v>
      </c>
      <c r="E70" s="18" t="str">
        <f>tbCategorias[[#This Row],[Código]]&amp;" - "&amp;tbCategorias[[#This Row],[Subcategoria]]</f>
        <v>87 - Vivo (Matheus)</v>
      </c>
    </row>
    <row r="71" spans="1:5" x14ac:dyDescent="0.3">
      <c r="A71" s="26">
        <v>90</v>
      </c>
      <c r="B71" s="26" t="s">
        <v>19</v>
      </c>
      <c r="C71" s="26" t="s">
        <v>89</v>
      </c>
      <c r="D71" s="23" t="s">
        <v>200</v>
      </c>
      <c r="E71" s="18" t="str">
        <f>tbCategorias[[#This Row],[Código]]&amp;" - "&amp;tbCategorias[[#This Row],[Subcategoria]]</f>
        <v>90 - Investimentos Mensais</v>
      </c>
    </row>
    <row r="72" spans="1:5" x14ac:dyDescent="0.3">
      <c r="A72" s="26">
        <v>91</v>
      </c>
      <c r="B72" s="26" t="s">
        <v>19</v>
      </c>
      <c r="C72" s="26" t="s">
        <v>90</v>
      </c>
      <c r="D72" s="23" t="s">
        <v>200</v>
      </c>
      <c r="E72" s="18" t="str">
        <f>tbCategorias[[#This Row],[Código]]&amp;" - "&amp;tbCategorias[[#This Row],[Subcategoria]]</f>
        <v>91 - Cartas de Crédito</v>
      </c>
    </row>
    <row r="73" spans="1:5" x14ac:dyDescent="0.3">
      <c r="A73" s="26">
        <v>92</v>
      </c>
      <c r="B73" s="26" t="s">
        <v>19</v>
      </c>
      <c r="C73" s="26" t="s">
        <v>91</v>
      </c>
      <c r="D73" s="23" t="s">
        <v>200</v>
      </c>
      <c r="E73" s="18" t="str">
        <f>tbCategorias[[#This Row],[Código]]&amp;" - "&amp;tbCategorias[[#This Row],[Subcategoria]]</f>
        <v>92 - Outros Financeiro</v>
      </c>
    </row>
    <row r="74" spans="1:5" x14ac:dyDescent="0.3">
      <c r="A74" s="26">
        <v>34</v>
      </c>
      <c r="B74" s="26" t="s">
        <v>20</v>
      </c>
      <c r="C74" s="26" t="s">
        <v>92</v>
      </c>
      <c r="D74" s="23" t="s">
        <v>200</v>
      </c>
      <c r="E74" s="18" t="str">
        <f>tbCategorias[[#This Row],[Código]]&amp;" - "&amp;tbCategorias[[#This Row],[Subcategoria]]</f>
        <v>34 - Renda Variável</v>
      </c>
    </row>
    <row r="75" spans="1:5" x14ac:dyDescent="0.3">
      <c r="A75" s="26">
        <v>35</v>
      </c>
      <c r="B75" s="26" t="s">
        <v>20</v>
      </c>
      <c r="C75" s="26" t="s">
        <v>93</v>
      </c>
      <c r="D75" s="23" t="s">
        <v>200</v>
      </c>
      <c r="E75" s="18" t="str">
        <f>tbCategorias[[#This Row],[Código]]&amp;" - "&amp;tbCategorias[[#This Row],[Subcategoria]]</f>
        <v>35 - Fundos Imobiliários</v>
      </c>
    </row>
    <row r="76" spans="1:5" x14ac:dyDescent="0.3">
      <c r="A76" s="26">
        <v>36</v>
      </c>
      <c r="B76" s="26" t="s">
        <v>20</v>
      </c>
      <c r="C76" s="26" t="s">
        <v>94</v>
      </c>
      <c r="D76" s="23" t="s">
        <v>200</v>
      </c>
      <c r="E76" s="18" t="str">
        <f>tbCategorias[[#This Row],[Código]]&amp;" - "&amp;tbCategorias[[#This Row],[Subcategoria]]</f>
        <v>36 - Ações Baixo Risco</v>
      </c>
    </row>
    <row r="77" spans="1:5" x14ac:dyDescent="0.3">
      <c r="A77" s="26">
        <v>37</v>
      </c>
      <c r="B77" s="26" t="s">
        <v>20</v>
      </c>
      <c r="C77" s="26" t="s">
        <v>95</v>
      </c>
      <c r="D77" s="23" t="s">
        <v>200</v>
      </c>
      <c r="E77" s="18" t="str">
        <f>tbCategorias[[#This Row],[Código]]&amp;" - "&amp;tbCategorias[[#This Row],[Subcategoria]]</f>
        <v>37 - Ações Alto Risco</v>
      </c>
    </row>
  </sheetData>
  <dataValidations count="2">
    <dataValidation type="list" showErrorMessage="1" errorTitle="Grupo inválido" error="Escolha um grupo da lista ao lado." sqref="B4:B127" xr:uid="{00000000-0002-0000-0100-000000000000}">
      <formula1>$G$4:$G$16</formula1>
    </dataValidation>
    <dataValidation type="custom" showErrorMessage="1" errorTitle="Código duplicado" error="Este código já existe." sqref="A4:A127" xr:uid="{00000000-0002-0000-0100-000001000000}">
      <formula1>COUNTIF($A:$A,A4)=1</formula1>
    </dataValidation>
  </dataValidations>
  <pageMargins left="0.75" right="0.75" top="1" bottom="1" header="0.5" footer="0.5"/>
  <drawing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B64976-B26B-428E-9D8A-E04E31941E7E}">
          <x14:formula1>
            <xm:f>Calc!$L$1:$L$2</xm:f>
          </x14:formula1>
          <xm:sqref>D4:D77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27</vt:i4>
      </vt:variant>
    </vt:vector>
  </HeadingPairs>
  <TitlesOfParts>
    <vt:vector size="38" baseType="lpstr">
      <vt:lpstr>Dinâmicas</vt:lpstr>
      <vt:lpstr>Calc</vt:lpstr>
      <vt:lpstr>Painel</vt:lpstr>
      <vt:lpstr>Análise</vt:lpstr>
      <vt:lpstr>Cadastro</vt:lpstr>
      <vt:lpstr>Contas</vt:lpstr>
      <vt:lpstr>Metas</vt:lpstr>
      <vt:lpstr>Lançamentos</vt:lpstr>
      <vt:lpstr>Orçamento</vt:lpstr>
      <vt:lpstr>Rendas</vt:lpstr>
      <vt:lpstr>Categorias</vt:lpstr>
      <vt:lpstr>Ano</vt:lpstr>
      <vt:lpstr>catFixa</vt:lpstr>
      <vt:lpstr>catGrupo</vt:lpstr>
      <vt:lpstr>catPrev</vt:lpstr>
      <vt:lpstr>catSub</vt:lpstr>
      <vt:lpstr>conMes</vt:lpstr>
      <vt:lpstr>DiaVenc</vt:lpstr>
      <vt:lpstr>frmCat</vt:lpstr>
      <vt:lpstr>frmData</vt:lpstr>
      <vt:lpstr>frmDesc</vt:lpstr>
      <vt:lpstr>frmPag</vt:lpstr>
      <vt:lpstr>frmResp</vt:lpstr>
      <vt:lpstr>frmValor</vt:lpstr>
      <vt:lpstr>ListaCategorias</vt:lpstr>
      <vt:lpstr>ListaGrupos</vt:lpstr>
      <vt:lpstr>ListaMetas</vt:lpstr>
      <vt:lpstr>metData</vt:lpstr>
      <vt:lpstr>metSel</vt:lpstr>
      <vt:lpstr>metValor</vt:lpstr>
      <vt:lpstr>msgStatus</vt:lpstr>
      <vt:lpstr>nmAcum</vt:lpstr>
      <vt:lpstr>nmAlvo</vt:lpstr>
      <vt:lpstr>nmMeta</vt:lpstr>
      <vt:lpstr>rFonte</vt:lpstr>
      <vt:lpstr>rMes</vt:lpstr>
      <vt:lpstr>rPrev</vt:lpstr>
      <vt:lpstr>rReal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vinicius</cp:lastModifiedBy>
  <dcterms:created xsi:type="dcterms:W3CDTF">2026-09-26T01:20:36Z</dcterms:created>
  <dcterms:modified xsi:type="dcterms:W3CDTF">2026-09-26T15:17:04Z</dcterms:modified>
</cp:coreProperties>
</file>