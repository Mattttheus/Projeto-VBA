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V" sheetId="2" r:id="rId5"/>
    <sheet state="visible" name="MAR" sheetId="3" r:id="rId6"/>
    <sheet state="visible" name="ABR" sheetId="4" r:id="rId7"/>
    <sheet state="visible" name="MAI" sheetId="5" r:id="rId8"/>
    <sheet state="visible" name="JUN" sheetId="6" r:id="rId9"/>
    <sheet state="visible" name="JUL" sheetId="7" r:id="rId10"/>
    <sheet state="visible" name="AGO" sheetId="8" r:id="rId11"/>
    <sheet state="visible" name="SET" sheetId="9" r:id="rId12"/>
    <sheet state="visible" name="OUT" sheetId="10" r:id="rId13"/>
    <sheet state="visible" name="NOV" sheetId="11" r:id="rId14"/>
    <sheet state="visible" name="DEZ" sheetId="12" r:id="rId15"/>
    <sheet state="visible" name="Resumo" sheetId="13" r:id="rId16"/>
  </sheets>
  <definedNames>
    <definedName name="Receita">#REF!</definedName>
  </definedNames>
  <calcPr/>
  <extLst>
    <ext uri="GoogleSheetsCustomDataVersion2">
      <go:sheetsCustomData xmlns:go="http://customooxmlschemas.google.com/" r:id="rId17" roundtripDataChecksum="LZAzuNWXfxvQ8nNd6H2rf3xng8CrUBPJySvpx7k4rss="/>
    </ext>
  </extLst>
</workbook>
</file>

<file path=xl/sharedStrings.xml><?xml version="1.0" encoding="utf-8"?>
<sst xmlns="http://schemas.openxmlformats.org/spreadsheetml/2006/main" count="1786" uniqueCount="152">
  <si>
    <t xml:space="preserve">                  Lançamento de Compras e Gastos  Casa </t>
  </si>
  <si>
    <t>Previsto</t>
  </si>
  <si>
    <t>Real</t>
  </si>
  <si>
    <t>Diferença</t>
  </si>
  <si>
    <t>Renda 1</t>
  </si>
  <si>
    <t>Renda 2</t>
  </si>
  <si>
    <t>Despesas Mensais</t>
  </si>
  <si>
    <t>Renda Total</t>
  </si>
  <si>
    <t>Despesas</t>
  </si>
  <si>
    <t>Data</t>
  </si>
  <si>
    <t>Despesa</t>
  </si>
  <si>
    <t>Valor</t>
  </si>
  <si>
    <t>Área</t>
  </si>
  <si>
    <t>Saldo</t>
  </si>
  <si>
    <t>MORADIA</t>
  </si>
  <si>
    <t>TRANSPORTE</t>
  </si>
  <si>
    <t xml:space="preserve">Caixa de Emergência </t>
  </si>
  <si>
    <t>Uber 99</t>
  </si>
  <si>
    <t>Inevitavelmento fixo</t>
  </si>
  <si>
    <t>Uber</t>
  </si>
  <si>
    <t xml:space="preserve">Das Jhenis </t>
  </si>
  <si>
    <t>Transporte Público</t>
  </si>
  <si>
    <t xml:space="preserve">Cartao Jhenismara </t>
  </si>
  <si>
    <t>Transporte Trabalho J</t>
  </si>
  <si>
    <t>Emergência Casa</t>
  </si>
  <si>
    <t>Transporte Trabalho M</t>
  </si>
  <si>
    <t>Energia</t>
  </si>
  <si>
    <t>Caixa  Carro J</t>
  </si>
  <si>
    <t>Água</t>
  </si>
  <si>
    <t>Caixa Carro M</t>
  </si>
  <si>
    <t>Gás</t>
  </si>
  <si>
    <t>Contas Extras</t>
  </si>
  <si>
    <t>Cartao (Matheus)</t>
  </si>
  <si>
    <t>Outrs Dispesas</t>
  </si>
  <si>
    <t>TOTAL</t>
  </si>
  <si>
    <t>ALIMENTAÇÃO</t>
  </si>
  <si>
    <t>Supermercado</t>
  </si>
  <si>
    <t>Restaurante</t>
  </si>
  <si>
    <t>EDUCAÇÃO</t>
  </si>
  <si>
    <t xml:space="preserve">Café \ Almoço </t>
  </si>
  <si>
    <t>Mensalidades</t>
  </si>
  <si>
    <t>Pedidos IFood</t>
  </si>
  <si>
    <t>Idiomas</t>
  </si>
  <si>
    <t>CNH [Matheus]</t>
  </si>
  <si>
    <t>Cursos</t>
  </si>
  <si>
    <t>COMUNICAÇÃO</t>
  </si>
  <si>
    <t>Livros</t>
  </si>
  <si>
    <t>Celular</t>
  </si>
  <si>
    <t>Faculdade [Jhenis]</t>
  </si>
  <si>
    <t>Internet</t>
  </si>
  <si>
    <t>Outros Educação</t>
  </si>
  <si>
    <t>Streaming</t>
  </si>
  <si>
    <t xml:space="preserve">Netflix </t>
  </si>
  <si>
    <t xml:space="preserve">Amazon </t>
  </si>
  <si>
    <t>LAZER</t>
  </si>
  <si>
    <t>Max Plus</t>
  </si>
  <si>
    <t>Cinema</t>
  </si>
  <si>
    <t>Esportes</t>
  </si>
  <si>
    <t>Shows [Consertos]</t>
  </si>
  <si>
    <t>SAÚDE E CUIDADOS</t>
  </si>
  <si>
    <t>Viagens [Férias]</t>
  </si>
  <si>
    <t>Academia</t>
  </si>
  <si>
    <t>Outros Lazer</t>
  </si>
  <si>
    <t>Emergencia Médica</t>
  </si>
  <si>
    <t>Emergência Dentista</t>
  </si>
  <si>
    <t>Cosméticos</t>
  </si>
  <si>
    <t>Necessidades  Da Casa</t>
  </si>
  <si>
    <t>Dentista</t>
  </si>
  <si>
    <t>Cama</t>
  </si>
  <si>
    <t>Exames médicos</t>
  </si>
  <si>
    <t>Consertos [ Futuros</t>
  </si>
  <si>
    <t>Farmácia</t>
  </si>
  <si>
    <t xml:space="preserve">Geladeira </t>
  </si>
  <si>
    <t>Médicos particular</t>
  </si>
  <si>
    <t xml:space="preserve">Lava e seca </t>
  </si>
  <si>
    <t>Suplementos</t>
  </si>
  <si>
    <t>Lavanderia louça</t>
  </si>
  <si>
    <t>Outros Saúde</t>
  </si>
  <si>
    <t>Utensílios e decoração</t>
  </si>
  <si>
    <t>Outros Artigos</t>
  </si>
  <si>
    <t>VESTUÁRIO</t>
  </si>
  <si>
    <t>Roupas</t>
  </si>
  <si>
    <t>Div Matheus</t>
  </si>
  <si>
    <t xml:space="preserve">Sapatos </t>
  </si>
  <si>
    <t>Casas Bahia</t>
  </si>
  <si>
    <t>Outros Vestuário</t>
  </si>
  <si>
    <t>Faculdade</t>
  </si>
  <si>
    <t>Magalu</t>
  </si>
  <si>
    <t>Vivo</t>
  </si>
  <si>
    <t>Inv\ Longo Prazo</t>
  </si>
  <si>
    <t xml:space="preserve">Rendimento </t>
  </si>
  <si>
    <t>Dividendos</t>
  </si>
  <si>
    <t>Comissoes</t>
  </si>
  <si>
    <t>Renda Variavel</t>
  </si>
  <si>
    <t xml:space="preserve">Fundos imobiliário </t>
  </si>
  <si>
    <t>Inv\ Curto Prazo</t>
  </si>
  <si>
    <t xml:space="preserve">Ações Baixo Risco </t>
  </si>
  <si>
    <t xml:space="preserve">Investimentos  Mensais </t>
  </si>
  <si>
    <t>Projetos</t>
  </si>
  <si>
    <t>Alununas a Mais</t>
  </si>
  <si>
    <t>Ações Altos Risco</t>
  </si>
  <si>
    <t xml:space="preserve">Cartas de Crédito </t>
  </si>
  <si>
    <t>Outros Financeiro</t>
  </si>
  <si>
    <t xml:space="preserve">                  Lançamento de Compras e Gastos  Casa</t>
  </si>
  <si>
    <t>Outros Transporte</t>
  </si>
  <si>
    <t>OUTROS</t>
  </si>
  <si>
    <t>Presentes</t>
  </si>
  <si>
    <t>Doações</t>
  </si>
  <si>
    <t xml:space="preserve">Ensaio </t>
  </si>
  <si>
    <t>Outros</t>
  </si>
  <si>
    <t xml:space="preserve">Investimentos </t>
  </si>
  <si>
    <t>FINANCEIRO</t>
  </si>
  <si>
    <t xml:space="preserve">                           Lançamento de Compras e Gastos  Casa Organizada </t>
  </si>
  <si>
    <t>Lançamento de Compras e Gastos Casa Organizada</t>
  </si>
  <si>
    <t xml:space="preserve">Lançamento de Compras e Gastos Casa Organizada </t>
  </si>
  <si>
    <r>
      <rPr>
        <rFont val="Work Sans"/>
        <b/>
        <color theme="4"/>
        <sz val="26.0"/>
      </rPr>
      <t xml:space="preserve">  </t>
    </r>
    <r>
      <rPr>
        <rFont val="Work Sans"/>
        <b/>
        <color theme="0"/>
        <sz val="26.0"/>
      </rPr>
      <t xml:space="preserve">Resumo Anual </t>
    </r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</si>
  <si>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</si>
  <si>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</si>
  <si>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</si>
  <si>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</si>
  <si>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</si>
  <si>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</si>
  <si>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</si>
  <si>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</si>
  <si>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</si>
  <si>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</si>
  <si>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</si>
  <si>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</si>
  <si>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RENDA TOTAL</t>
  </si>
  <si>
    <t xml:space="preserve">    </t>
  </si>
  <si>
    <t>DESPESA TOTAL</t>
  </si>
  <si>
    <t>Moradia</t>
  </si>
  <si>
    <t>Alimentação</t>
  </si>
  <si>
    <t xml:space="preserve">Saúde  </t>
  </si>
  <si>
    <t>Vestuário</t>
  </si>
  <si>
    <t>Transporte</t>
  </si>
  <si>
    <t>Educação</t>
  </si>
  <si>
    <t>Lazer</t>
  </si>
  <si>
    <t>Artigos Residenciais</t>
  </si>
  <si>
    <t>Financeiro</t>
  </si>
  <si>
    <t>Investimentos</t>
  </si>
  <si>
    <t>SALDO</t>
  </si>
  <si>
    <t>INVESTIMENTOS</t>
  </si>
  <si>
    <t>Poupança</t>
  </si>
  <si>
    <t>CDB</t>
  </si>
  <si>
    <t>Renda Fixa</t>
  </si>
  <si>
    <t>Criptoativos</t>
  </si>
  <si>
    <t>FII</t>
  </si>
  <si>
    <t>Fundos</t>
  </si>
  <si>
    <t>Ações</t>
  </si>
  <si>
    <t>Previdência</t>
  </si>
  <si>
    <t>Dólar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</si>
</sst>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_-;\-&quot;R$&quot;\ * #,##0_-;_-&quot;R$&quot;\ * &quot;-&quot;??_-;_-@"/>
    <numFmt numFmtId="165" formatCode="_-[$R$-416]\ * #,##0_-;\-[$R$-416]\ * #,##0_-;_-[$R$-416]\ * &quot;-&quot;??_-;_-@"/>
    <numFmt numFmtId="166" formatCode="_-&quot;R$&quot;\ * #,##0.00_-;\-&quot;R$&quot;\ * #,##0.00_-;_-&quot;R$&quot;\ * &quot;-&quot;??_-;_-@"/>
  </numFmts>
  <fonts count="47">
    <font>
      <sz val="11.0"/>
      <color theme="1"/>
      <name val="Calibri"/>
      <scheme val="minor"/>
    </font>
    <font>
      <sz val="26.0"/>
      <color rgb="FF7F7F7F"/>
      <name val="Corbel"/>
    </font>
    <font>
      <b/>
      <sz val="26.0"/>
      <color rgb="FFFEB2FF"/>
      <name val="Work Sans"/>
    </font>
    <font/>
    <font>
      <sz val="26.0"/>
      <color theme="1"/>
      <name val="Corbel"/>
    </font>
    <font>
      <sz val="11.0"/>
      <color theme="1"/>
      <name val="Corbel"/>
    </font>
    <font>
      <sz val="11.0"/>
      <color theme="1"/>
      <name val="Work Sans"/>
    </font>
    <font>
      <sz val="8.0"/>
      <color theme="1"/>
      <name val="Work Sans"/>
    </font>
    <font>
      <b/>
      <sz val="11.0"/>
      <color theme="0"/>
      <name val="Work Sans"/>
    </font>
    <font>
      <b/>
      <sz val="12.0"/>
      <color theme="0"/>
      <name val="Work Sans"/>
    </font>
    <font>
      <b/>
      <sz val="10.0"/>
      <color rgb="FF7F7F7F"/>
      <name val="Work Sans"/>
    </font>
    <font>
      <sz val="10.0"/>
      <color rgb="FF7F7F7F"/>
      <name val="Work Sans"/>
    </font>
    <font>
      <b/>
      <sz val="11.0"/>
      <color theme="1"/>
      <name val="Work Sans"/>
    </font>
    <font>
      <b/>
      <sz val="14.0"/>
      <color rgb="FFFFFFFF"/>
      <name val="Work Sans"/>
    </font>
    <font>
      <b/>
      <sz val="12.0"/>
      <color rgb="FFE5E5E5"/>
      <name val="Work Sans"/>
    </font>
    <font>
      <b/>
      <sz val="10.0"/>
      <color rgb="FF00843C"/>
      <name val="Work Sans"/>
    </font>
    <font>
      <b/>
      <sz val="10.0"/>
      <color rgb="FFC00000"/>
      <name val="Work Sans"/>
    </font>
    <font>
      <b/>
      <sz val="10.0"/>
      <color rgb="FF00008F"/>
      <name val="Work Sans"/>
    </font>
    <font>
      <b/>
      <sz val="12.0"/>
      <color rgb="FFFFFFFF"/>
      <name val="Work Sans"/>
    </font>
    <font>
      <b/>
      <sz val="10.0"/>
      <color rgb="FF3F3FFF"/>
      <name val="Work Sans"/>
    </font>
    <font>
      <b/>
      <sz val="14.0"/>
      <color rgb="FFE5E5E5"/>
      <name val="Work Sans"/>
    </font>
    <font>
      <sz val="11.0"/>
      <color rgb="FF3F3FFF"/>
      <name val="Work Sans"/>
    </font>
    <font>
      <b/>
      <sz val="9.0"/>
      <color rgb="FF0000BF"/>
      <name val="Work Sans"/>
    </font>
    <font>
      <b/>
      <sz val="11.0"/>
      <color rgb="FFFFFFFF"/>
      <name val="Work Sans"/>
    </font>
    <font>
      <b/>
      <sz val="11.0"/>
      <color rgb="FF0000BF"/>
      <name val="Work Sans"/>
    </font>
    <font>
      <sz val="8.0"/>
      <color rgb="FF0000BF"/>
      <name val="Work Sans"/>
    </font>
    <font>
      <sz val="10.0"/>
      <color rgb="FF5F5F5F"/>
      <name val="Work Sans"/>
    </font>
    <font>
      <b/>
      <sz val="10.0"/>
      <color theme="0"/>
      <name val="Work Sans"/>
    </font>
    <font>
      <sz val="10.0"/>
      <color theme="0"/>
      <name val="Work Sans"/>
    </font>
    <font>
      <color theme="1"/>
      <name val="Calibri"/>
      <scheme val="minor"/>
    </font>
    <font>
      <sz val="8.0"/>
      <color theme="1"/>
      <name val="Corbel"/>
    </font>
    <font>
      <b/>
      <sz val="25.0"/>
      <color rgb="FFFEB2FF"/>
      <name val="Work Sans"/>
    </font>
    <font>
      <b/>
      <sz val="25.0"/>
      <color rgb="FFFEB2FF"/>
      <name val="&quot;docs-Work Sans&quot;"/>
    </font>
    <font>
      <b/>
      <sz val="26.0"/>
      <color theme="4"/>
      <name val="Work Sans"/>
    </font>
    <font>
      <sz val="11.0"/>
      <color theme="1"/>
      <name val="Calibri"/>
    </font>
    <font>
      <color rgb="FF5F5F5F"/>
      <name val="Work Sans"/>
    </font>
    <font>
      <b/>
      <color rgb="FFFFFFFF"/>
      <name val="Work Sans"/>
    </font>
    <font>
      <color rgb="FFFFFFFF"/>
      <name val="Work Sans"/>
    </font>
    <font>
      <b/>
      <sz val="24.0"/>
      <color rgb="FFFEB2FF"/>
      <name val="&quot;docs-Work Sans&quot;"/>
    </font>
    <font>
      <sz val="10.0"/>
      <color theme="1"/>
      <name val="Work Sans"/>
    </font>
    <font>
      <b/>
      <sz val="10.0"/>
      <color theme="4"/>
      <name val="Work Sans"/>
    </font>
    <font>
      <b/>
      <sz val="10.0"/>
      <color rgb="FFE5E5E5"/>
      <name val="Work Sans"/>
    </font>
    <font>
      <sz val="10.0"/>
      <color rgb="FFE5E5E5"/>
      <name val="Work Sans"/>
    </font>
    <font>
      <b/>
      <sz val="10.0"/>
      <color rgb="FFFEB2FF"/>
      <name val="Work Sans"/>
    </font>
    <font>
      <sz val="10.0"/>
      <color theme="4"/>
      <name val="Work Sans"/>
    </font>
    <font>
      <b/>
      <sz val="11.0"/>
      <color rgb="FFE5E5E5"/>
      <name val="Work Sans"/>
    </font>
    <font>
      <sz val="10.0"/>
      <color theme="1"/>
      <name val="Corbel"/>
    </font>
  </fonts>
  <fills count="20">
    <fill>
      <patternFill patternType="none"/>
    </fill>
    <fill>
      <patternFill patternType="lightGray"/>
    </fill>
    <fill>
      <patternFill patternType="solid">
        <fgColor rgb="FF000067"/>
        <bgColor rgb="FF000067"/>
      </patternFill>
    </fill>
    <fill>
      <patternFill patternType="solid">
        <fgColor rgb="FF00008F"/>
        <bgColor rgb="FF00008F"/>
      </patternFill>
    </fill>
    <fill>
      <patternFill patternType="solid">
        <fgColor rgb="FF92D050"/>
        <bgColor rgb="FF92D050"/>
      </patternFill>
    </fill>
    <fill>
      <patternFill patternType="solid">
        <fgColor rgb="FF3F3FFF"/>
        <bgColor rgb="FF3F3FFF"/>
      </patternFill>
    </fill>
    <fill>
      <patternFill patternType="solid">
        <fgColor rgb="FF00B050"/>
        <bgColor rgb="FF00B050"/>
      </patternFill>
    </fill>
    <fill>
      <patternFill patternType="solid">
        <fgColor rgb="FFC3F9CB"/>
        <bgColor rgb="FFC3F9CB"/>
      </patternFill>
    </fill>
    <fill>
      <patternFill patternType="solid">
        <fgColor rgb="FFB00000"/>
        <bgColor rgb="FFB00000"/>
      </patternFill>
    </fill>
    <fill>
      <patternFill patternType="solid">
        <fgColor rgb="FFFFE5E5"/>
        <bgColor rgb="FFFFE5E5"/>
      </patternFill>
    </fill>
    <fill>
      <patternFill patternType="solid">
        <fgColor theme="4"/>
        <bgColor theme="4"/>
      </patternFill>
    </fill>
    <fill>
      <patternFill patternType="solid">
        <fgColor rgb="FF0000BF"/>
        <bgColor rgb="FF0000BF"/>
      </patternFill>
    </fill>
    <fill>
      <patternFill patternType="solid">
        <fgColor rgb="FFE5E5FF"/>
        <bgColor rgb="FFE5E5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9FF"/>
        <bgColor rgb="FFD9D9FF"/>
      </patternFill>
    </fill>
    <fill>
      <patternFill patternType="solid">
        <fgColor rgb="FFFFEBFF"/>
        <bgColor rgb="FFFFEBFF"/>
      </patternFill>
    </fill>
    <fill>
      <patternFill patternType="solid">
        <fgColor rgb="FF00005F"/>
        <bgColor rgb="FF00005F"/>
      </patternFill>
    </fill>
    <fill>
      <patternFill patternType="solid">
        <fgColor rgb="FF00843C"/>
        <bgColor rgb="FF00843C"/>
      </patternFill>
    </fill>
    <fill>
      <patternFill patternType="solid">
        <fgColor rgb="FFD9FFEA"/>
        <bgColor rgb="FFD9FFEA"/>
      </patternFill>
    </fill>
  </fills>
  <borders count="115">
    <border/>
    <border>
      <left/>
      <top/>
      <bottom/>
    </border>
    <border>
      <top/>
      <bottom/>
    </border>
    <border>
      <right/>
      <top/>
      <bottom/>
    </border>
    <border>
      <left/>
      <right style="thin">
        <color theme="0"/>
      </right>
      <top/>
      <bottom/>
    </border>
    <border>
      <left style="thin">
        <color theme="0"/>
      </left>
      <top/>
      <bottom/>
    </border>
    <border>
      <right style="thin">
        <color theme="0"/>
      </right>
      <top/>
      <bottom/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bottom style="thin">
        <color theme="0"/>
      </bottom>
    </border>
    <border>
      <right style="thin">
        <color theme="0"/>
      </right>
      <bottom style="thin">
        <color theme="0"/>
      </bottom>
    </border>
    <border>
      <bottom style="thin">
        <color theme="0"/>
      </bottom>
    </border>
    <border>
      <left/>
      <right style="thin">
        <color theme="0"/>
      </right>
      <top style="thin">
        <color theme="0"/>
      </top>
      <bottom style="medium">
        <color rgb="FF00843C"/>
      </bottom>
    </border>
    <border>
      <left style="thin">
        <color theme="0"/>
      </left>
      <top style="thin">
        <color theme="0"/>
      </top>
      <bottom style="medium">
        <color rgb="FF00843C"/>
      </bottom>
    </border>
    <border>
      <right style="thin">
        <color theme="0"/>
      </right>
      <top style="thin">
        <color theme="0"/>
      </top>
      <bottom style="medium">
        <color rgb="FF00843C"/>
      </bottom>
    </border>
    <border>
      <top style="thin">
        <color theme="0"/>
      </top>
      <bottom style="medium">
        <color rgb="FF00843C"/>
      </bottom>
    </border>
    <border>
      <bottom style="medium">
        <color rgb="FF00843C"/>
      </bottom>
    </border>
    <border>
      <left/>
      <top/>
    </border>
    <border>
      <top/>
    </border>
    <border>
      <right/>
      <top/>
    </border>
    <border>
      <left/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/>
      <right/>
      <top/>
      <bottom style="thin">
        <color theme="0"/>
      </bottom>
    </border>
    <border>
      <left/>
      <bottom style="thin">
        <color theme="0"/>
      </bottom>
    </border>
    <border>
      <right/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</border>
    <border>
      <left style="thin">
        <color theme="0"/>
      </left>
      <top style="thin">
        <color theme="0"/>
      </top>
      <bottom/>
    </border>
    <border>
      <right style="thin">
        <color theme="0"/>
      </right>
      <top style="thin">
        <color theme="0"/>
      </top>
      <bottom/>
    </border>
    <border>
      <top style="thin">
        <color theme="0"/>
      </top>
      <bottom/>
    </border>
    <border>
      <left/>
      <right/>
      <top style="thin">
        <color theme="0"/>
      </top>
      <bottom/>
    </border>
    <border>
      <left/>
      <right style="thin">
        <color theme="0"/>
      </right>
      <bottom/>
    </border>
    <border>
      <left style="thin">
        <color theme="0"/>
      </left>
      <right style="thin">
        <color theme="0"/>
      </right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/>
      <bottom/>
    </border>
    <border>
      <left/>
      <right style="thin">
        <color rgb="FFBFBFFF"/>
      </right>
      <top style="thin">
        <color rgb="FFBFBFFF"/>
      </top>
      <bottom style="thin">
        <color rgb="FFBFBFFF"/>
      </bottom>
    </border>
    <border>
      <left/>
      <right/>
      <top style="thin">
        <color rgb="FFBFBFFF"/>
      </top>
      <bottom style="thin">
        <color rgb="FFBFBFFF"/>
      </bottom>
    </border>
    <border>
      <left style="double">
        <color rgb="FF000000"/>
      </left>
      <right/>
      <top style="double">
        <color rgb="FF000000"/>
      </top>
      <bottom/>
    </border>
    <border>
      <left/>
      <right style="thin">
        <color theme="0"/>
      </right>
      <top style="double">
        <color rgb="FF000000"/>
      </top>
      <bottom/>
    </border>
    <border>
      <left style="thin">
        <color theme="0"/>
      </left>
      <right style="thin">
        <color theme="0"/>
      </right>
      <top style="double">
        <color rgb="FF000000"/>
      </top>
      <bottom style="medium">
        <color rgb="FF000000"/>
      </bottom>
    </border>
    <border>
      <left style="thin">
        <color theme="0"/>
      </left>
      <right style="thin">
        <color theme="0"/>
      </right>
      <top style="double">
        <color rgb="FF000000"/>
      </top>
      <bottom style="medium">
        <color rgb="FF00008F"/>
      </bottom>
    </border>
    <border>
      <left style="thin">
        <color theme="0"/>
      </left>
      <right style="double">
        <color rgb="FF000000"/>
      </right>
      <top style="double">
        <color rgb="FF000000"/>
      </top>
      <bottom style="medium">
        <color rgb="FF00008F"/>
      </bottom>
    </border>
    <border>
      <left style="double">
        <color rgb="FF000000"/>
      </left>
      <top style="double">
        <color rgb="FF000000"/>
      </top>
    </border>
    <border>
      <left style="thin">
        <color theme="0"/>
      </left>
      <right/>
      <top style="double">
        <color rgb="FF000000"/>
      </top>
      <bottom/>
    </border>
    <border>
      <right style="thin">
        <color theme="0"/>
      </right>
      <top style="double">
        <color rgb="FF000000"/>
      </top>
      <bottom style="medium">
        <color rgb="FF00008F"/>
      </bottom>
    </border>
    <border>
      <left style="double">
        <color rgb="FF000000"/>
      </left>
      <right/>
      <top style="thin">
        <color theme="0"/>
      </top>
      <bottom style="thin">
        <color theme="0"/>
      </bottom>
    </border>
    <border>
      <bottom style="thin">
        <color rgb="FFBFBFFF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uble">
        <color rgb="FF000000"/>
      </right>
      <bottom style="dotted">
        <color rgb="FF000000"/>
      </bottom>
    </border>
    <border>
      <top style="thin">
        <color theme="0"/>
      </top>
      <bottom style="thin">
        <color theme="0"/>
      </bottom>
    </border>
    <border>
      <left style="double">
        <color rgb="FF000000"/>
      </left>
      <right/>
      <top/>
      <bottom style="thin">
        <color theme="0"/>
      </bottom>
    </border>
    <border>
      <right style="dotted">
        <color rgb="FF000000"/>
      </right>
      <bottom style="dotted">
        <color rgb="FF000000"/>
      </bottom>
    </border>
    <border>
      <top style="thin">
        <color rgb="FFBFBFFF"/>
      </top>
      <bottom style="thin">
        <color rgb="FFBFBFFF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/>
      <top style="thin">
        <color theme="0"/>
      </top>
      <bottom/>
    </border>
    <border>
      <top style="thin">
        <color rgb="FFBFBFFF"/>
      </top>
      <bottom style="medium">
        <color rgb="FF00008F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8F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medium">
        <color rgb="FF00008F"/>
      </bottom>
    </border>
    <border>
      <left style="double">
        <color rgb="FF000000"/>
      </left>
      <bottom style="double">
        <color rgb="FF000000"/>
      </bottom>
    </border>
    <border>
      <left/>
      <right/>
      <top style="medium">
        <color rgb="FF00008F"/>
      </top>
      <bottom style="double">
        <color rgb="FF000000"/>
      </bottom>
    </border>
    <border>
      <left style="thin">
        <color theme="0"/>
      </left>
      <right style="thin">
        <color theme="0"/>
      </right>
      <bottom style="double">
        <color rgb="FF000000"/>
      </bottom>
    </border>
    <border>
      <left style="thin">
        <color theme="0"/>
      </left>
      <right style="thin">
        <color theme="0"/>
      </right>
      <top style="medium">
        <color rgb="FF00008F"/>
      </top>
      <bottom style="double">
        <color rgb="FF000000"/>
      </bottom>
    </border>
    <border>
      <left style="thin">
        <color theme="0"/>
      </left>
      <right style="double">
        <color rgb="FF000000"/>
      </right>
      <top style="medium">
        <color rgb="FF00008F"/>
      </top>
      <bottom style="double">
        <color rgb="FF000000"/>
      </bottom>
    </border>
    <border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  <top style="thin">
        <color theme="0"/>
      </top>
      <bottom style="thin">
        <color theme="0"/>
      </bottom>
    </border>
    <border>
      <right style="dotted">
        <color rgb="FF000000"/>
      </right>
      <top style="dotted">
        <color rgb="FF000000"/>
      </top>
      <bottom style="thin">
        <color rgb="FFBFBFFF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BFBFFF"/>
      </bottom>
    </border>
    <border>
      <left style="dotted">
        <color rgb="FF000000"/>
      </left>
      <right style="double">
        <color rgb="FF000000"/>
      </right>
      <top style="dotted">
        <color rgb="FF000000"/>
      </top>
      <bottom style="thin">
        <color rgb="FFBFBFFF"/>
      </bottom>
    </border>
    <border>
      <left/>
      <right/>
      <top style="double">
        <color rgb="FF000000"/>
      </top>
      <bottom/>
    </border>
    <border>
      <left style="thin">
        <color theme="0"/>
      </left>
      <right/>
      <top style="medium">
        <color rgb="FF00008F"/>
      </top>
      <bottom style="double">
        <color rgb="FF000000"/>
      </bottom>
    </border>
    <border>
      <left style="medium">
        <color theme="0"/>
      </left>
      <right style="medium">
        <color theme="0"/>
      </right>
    </border>
    <border>
      <left style="medium">
        <color theme="0"/>
      </left>
      <right style="medium">
        <color theme="0"/>
      </right>
      <top style="double">
        <color rgb="FF000000"/>
      </top>
      <bottom/>
    </border>
    <border>
      <left style="double">
        <color rgb="FF000000"/>
      </left>
      <right style="medium">
        <color theme="0"/>
      </right>
      <top style="thin">
        <color theme="0"/>
      </top>
      <bottom style="thin">
        <color theme="0"/>
      </bottom>
    </border>
    <border>
      <left style="double">
        <color rgb="FF000000"/>
      </left>
      <right style="medium">
        <color theme="0"/>
      </right>
      <top style="thin">
        <color theme="0"/>
      </top>
      <bottom style="medium">
        <color theme="0"/>
      </bottom>
    </border>
    <border>
      <top style="thin">
        <color theme="0"/>
      </top>
      <bottom style="medium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theme="0"/>
      </left>
      <right style="thin">
        <color theme="0"/>
      </right>
      <bottom style="medium">
        <color rgb="FF00008F"/>
      </bottom>
    </border>
    <border>
      <left style="dotted">
        <color rgb="FF000000"/>
      </left>
      <bottom style="dotted">
        <color rgb="FF000000"/>
      </bottom>
    </border>
    <border>
      <left style="thin">
        <color theme="0"/>
      </left>
      <top style="thin">
        <color theme="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uble">
        <color rgb="FF000000"/>
      </right>
      <top style="thin">
        <color rgb="FFBFBFFF"/>
      </top>
      <bottom style="thin">
        <color rgb="FFBFBFFF"/>
      </bottom>
    </border>
    <border>
      <left style="dotted">
        <color rgb="FF000000"/>
      </left>
      <top style="dotted">
        <color rgb="FF000000"/>
      </top>
      <bottom style="thin">
        <color rgb="FFBFBFFF"/>
      </bottom>
    </border>
    <border>
      <left/>
      <right/>
      <top style="medium">
        <color rgb="FF00008F"/>
      </top>
      <bottom style="medium">
        <color theme="0"/>
      </bottom>
    </border>
    <border>
      <left style="thin">
        <color theme="0"/>
      </left>
      <right style="thin">
        <color theme="0"/>
      </right>
      <top style="medium">
        <color rgb="FF00008F"/>
      </top>
      <bottom style="medium">
        <color theme="0"/>
      </bottom>
    </border>
    <border>
      <right style="dotted">
        <color rgb="FF000000"/>
      </right>
      <top style="thin">
        <color rgb="FFBFBFFF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BFBFFF"/>
      </top>
      <bottom style="dotted">
        <color rgb="FF000000"/>
      </bottom>
    </border>
    <border>
      <left style="dotted">
        <color rgb="FF000000"/>
      </left>
      <right style="double">
        <color rgb="FF000000"/>
      </right>
      <top style="thin">
        <color rgb="FFBFBFFF"/>
      </top>
      <bottom style="dotted">
        <color rgb="FF000000"/>
      </bottom>
    </border>
    <border>
      <left style="double">
        <color rgb="FF000000"/>
      </left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uble">
        <color rgb="FF000000"/>
      </right>
      <top style="dotted">
        <color rgb="FF000000"/>
      </top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right/>
      <top/>
      <bottom/>
    </border>
    <border>
      <right style="thin">
        <color theme="0"/>
      </right>
      <bottom style="medium">
        <color rgb="FF00008F"/>
      </bottom>
    </border>
    <border>
      <left style="thin">
        <color theme="0"/>
      </left>
      <right/>
      <top style="thin">
        <color theme="0"/>
      </top>
      <bottom/>
    </border>
    <border>
      <left style="thin">
        <color theme="0"/>
      </left>
      <right/>
      <top style="medium">
        <color rgb="FF00008F"/>
      </top>
      <bottom style="medium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</border>
    <border>
      <left style="medium">
        <color theme="0"/>
      </left>
      <right style="medium">
        <color theme="0"/>
      </right>
      <top/>
      <bottom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</border>
    <border>
      <left style="medium">
        <color theme="0"/>
      </left>
      <right style="medium">
        <color theme="0"/>
      </right>
      <top style="thin">
        <color theme="0"/>
      </top>
      <bottom style="medium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</border>
    <border>
      <bottom/>
    </border>
    <border>
      <right/>
      <bottom/>
    </border>
    <border>
      <bottom style="thin">
        <color rgb="FF000000"/>
      </bottom>
    </border>
    <border>
      <left/>
      <right style="thin">
        <color rgb="FFBFBFFF"/>
      </right>
      <bottom style="thin">
        <color rgb="FFBFBFFF"/>
      </bottom>
    </border>
    <border>
      <left/>
      <right/>
      <bottom style="thin">
        <color rgb="FFBFBFFF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center" vertical="center"/>
    </xf>
    <xf borderId="4" fillId="3" fontId="8" numFmtId="0" xfId="0" applyAlignment="1" applyBorder="1" applyFill="1" applyFont="1">
      <alignment vertical="center"/>
    </xf>
    <xf borderId="5" fillId="3" fontId="8" numFmtId="0" xfId="0" applyAlignment="1" applyBorder="1" applyFont="1">
      <alignment horizontal="center" vertical="center"/>
    </xf>
    <xf borderId="6" fillId="0" fontId="3" numFmtId="0" xfId="0" applyBorder="1" applyFont="1"/>
    <xf borderId="7" fillId="4" fontId="9" numFmtId="0" xfId="0" applyAlignment="1" applyBorder="1" applyFill="1" applyFont="1">
      <alignment horizontal="center" vertical="center"/>
    </xf>
    <xf borderId="8" fillId="0" fontId="10" numFmtId="164" xfId="0" applyAlignment="1" applyBorder="1" applyFont="1" applyNumberFormat="1">
      <alignment horizontal="center" readingOrder="0" vertical="center"/>
    </xf>
    <xf borderId="9" fillId="0" fontId="10" numFmtId="164" xfId="0" applyAlignment="1" applyBorder="1" applyFont="1" applyNumberFormat="1">
      <alignment horizontal="center" readingOrder="0" vertical="center"/>
    </xf>
    <xf borderId="10" fillId="0" fontId="10" numFmtId="164" xfId="0" applyAlignment="1" applyBorder="1" applyFont="1" applyNumberFormat="1">
      <alignment horizontal="center" vertical="center"/>
    </xf>
    <xf borderId="9" fillId="0" fontId="10" numFmtId="164" xfId="0" applyAlignment="1" applyBorder="1" applyFont="1" applyNumberFormat="1">
      <alignment horizontal="center" vertical="center"/>
    </xf>
    <xf borderId="0" fillId="0" fontId="11" numFmtId="164" xfId="0" applyAlignment="1" applyFont="1" applyNumberFormat="1">
      <alignment vertical="center"/>
    </xf>
    <xf borderId="11" fillId="4" fontId="9" numFmtId="0" xfId="0" applyAlignment="1" applyBorder="1" applyFont="1">
      <alignment horizontal="center" vertical="center"/>
    </xf>
    <xf borderId="12" fillId="0" fontId="10" numFmtId="164" xfId="0" applyAlignment="1" applyBorder="1" applyFont="1" applyNumberFormat="1">
      <alignment horizontal="center" readingOrder="0" vertical="center"/>
    </xf>
    <xf borderId="13" fillId="0" fontId="10" numFmtId="164" xfId="0" applyAlignment="1" applyBorder="1" applyFont="1" applyNumberFormat="1">
      <alignment horizontal="center" readingOrder="0" vertical="center"/>
    </xf>
    <xf borderId="14" fillId="0" fontId="10" numFmtId="164" xfId="0" applyAlignment="1" applyBorder="1" applyFont="1" applyNumberFormat="1">
      <alignment horizontal="center" vertical="center"/>
    </xf>
    <xf borderId="13" fillId="0" fontId="10" numFmtId="164" xfId="0" applyAlignment="1" applyBorder="1" applyFont="1" applyNumberFormat="1">
      <alignment horizontal="center" vertical="center"/>
    </xf>
    <xf borderId="15" fillId="0" fontId="11" numFmtId="164" xfId="0" applyAlignment="1" applyBorder="1" applyFont="1" applyNumberFormat="1">
      <alignment vertical="center"/>
    </xf>
    <xf borderId="0" fillId="0" fontId="12" numFmtId="0" xfId="0" applyFont="1"/>
    <xf borderId="16" fillId="5" fontId="13" numFmtId="0" xfId="0" applyAlignment="1" applyBorder="1" applyFill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6" fontId="14" numFmtId="0" xfId="0" applyAlignment="1" applyBorder="1" applyFill="1" applyFont="1">
      <alignment horizontal="center" vertical="center"/>
    </xf>
    <xf borderId="20" fillId="7" fontId="15" numFmtId="164" xfId="0" applyAlignment="1" applyBorder="1" applyFill="1" applyFont="1" applyNumberFormat="1">
      <alignment horizontal="center" vertical="center"/>
    </xf>
    <xf borderId="19" fillId="7" fontId="15" numFmtId="164" xfId="0" applyAlignment="1" applyBorder="1" applyFont="1" applyNumberFormat="1">
      <alignment horizontal="center" vertical="center"/>
    </xf>
    <xf borderId="21" fillId="7" fontId="15" numFmtId="164" xfId="0" applyAlignment="1" applyBorder="1" applyFont="1" applyNumberFormat="1">
      <alignment horizontal="center" vertical="center"/>
    </xf>
    <xf borderId="20" fillId="7" fontId="15" numFmtId="164" xfId="0" applyAlignment="1" applyBorder="1" applyFont="1" applyNumberFormat="1">
      <alignment horizontal="right" vertical="center"/>
    </xf>
    <xf borderId="22" fillId="0" fontId="3" numFmtId="0" xfId="0" applyBorder="1" applyFont="1"/>
    <xf borderId="10" fillId="0" fontId="3" numFmtId="0" xfId="0" applyBorder="1" applyFont="1"/>
    <xf borderId="23" fillId="0" fontId="3" numFmtId="0" xfId="0" applyBorder="1" applyFont="1"/>
    <xf borderId="7" fillId="8" fontId="14" numFmtId="0" xfId="0" applyAlignment="1" applyBorder="1" applyFill="1" applyFont="1">
      <alignment horizontal="center" vertical="center"/>
    </xf>
    <xf borderId="24" fillId="9" fontId="16" numFmtId="164" xfId="0" applyAlignment="1" applyBorder="1" applyFill="1" applyFont="1" applyNumberFormat="1">
      <alignment horizontal="center" vertical="center"/>
    </xf>
    <xf borderId="7" fillId="9" fontId="16" numFmtId="164" xfId="0" applyAlignment="1" applyBorder="1" applyFont="1" applyNumberFormat="1">
      <alignment horizontal="center" vertical="center"/>
    </xf>
    <xf borderId="25" fillId="9" fontId="16" numFmtId="164" xfId="0" applyAlignment="1" applyBorder="1" applyFont="1" applyNumberFormat="1">
      <alignment horizontal="center" vertical="center"/>
    </xf>
    <xf borderId="24" fillId="9" fontId="16" numFmtId="164" xfId="0" applyAlignment="1" applyBorder="1" applyFont="1" applyNumberFormat="1">
      <alignment horizontal="right" vertical="center"/>
    </xf>
    <xf borderId="26" fillId="10" fontId="17" numFmtId="0" xfId="0" applyAlignment="1" applyBorder="1" applyFill="1" applyFont="1">
      <alignment horizontal="center" vertical="center"/>
    </xf>
    <xf borderId="27" fillId="10" fontId="17" numFmtId="0" xfId="0" applyAlignment="1" applyBorder="1" applyFont="1">
      <alignment horizontal="center" vertical="center"/>
    </xf>
    <xf borderId="28" fillId="10" fontId="17" numFmtId="0" xfId="0" applyAlignment="1" applyBorder="1" applyFont="1">
      <alignment horizontal="center"/>
    </xf>
    <xf borderId="29" fillId="10" fontId="17" numFmtId="0" xfId="0" applyAlignment="1" applyBorder="1" applyFont="1">
      <alignment horizontal="center" vertical="center"/>
    </xf>
    <xf borderId="4" fillId="11" fontId="18" numFmtId="0" xfId="0" applyAlignment="1" applyBorder="1" applyFill="1" applyFont="1">
      <alignment horizontal="center" vertical="center"/>
    </xf>
    <xf borderId="30" fillId="12" fontId="19" numFmtId="164" xfId="0" applyAlignment="1" applyBorder="1" applyFill="1" applyFont="1" applyNumberFormat="1">
      <alignment vertical="center"/>
    </xf>
    <xf borderId="31" fillId="0" fontId="3" numFmtId="0" xfId="0" applyBorder="1" applyFont="1"/>
    <xf borderId="32" fillId="0" fontId="3" numFmtId="0" xfId="0" applyBorder="1" applyFont="1"/>
    <xf borderId="33" fillId="12" fontId="19" numFmtId="164" xfId="0" applyAlignment="1" applyBorder="1" applyFont="1" applyNumberFormat="1">
      <alignment horizontal="center" vertical="center"/>
    </xf>
    <xf borderId="34" fillId="0" fontId="3" numFmtId="0" xfId="0" applyBorder="1" applyFont="1"/>
    <xf borderId="35" fillId="0" fontId="3" numFmtId="0" xfId="0" applyBorder="1" applyFont="1"/>
    <xf borderId="36" fillId="10" fontId="17" numFmtId="164" xfId="0" applyBorder="1" applyFont="1" applyNumberFormat="1"/>
    <xf borderId="37" fillId="0" fontId="3" numFmtId="0" xfId="0" applyBorder="1" applyFont="1"/>
    <xf borderId="0" fillId="0" fontId="20" numFmtId="0" xfId="0" applyAlignment="1" applyFont="1">
      <alignment horizontal="center" vertical="center"/>
    </xf>
    <xf borderId="38" fillId="13" fontId="21" numFmtId="16" xfId="0" applyAlignment="1" applyBorder="1" applyFill="1" applyFont="1" applyNumberFormat="1">
      <alignment horizontal="right" readingOrder="0"/>
    </xf>
    <xf borderId="39" fillId="14" fontId="21" numFmtId="0" xfId="0" applyAlignment="1" applyBorder="1" applyFill="1" applyFont="1">
      <alignment vertical="center"/>
    </xf>
    <xf borderId="40" fillId="15" fontId="22" numFmtId="0" xfId="0" applyAlignment="1" applyBorder="1" applyFill="1" applyFont="1">
      <alignment horizontal="center" vertical="center"/>
    </xf>
    <xf borderId="41" fillId="11" fontId="23" numFmtId="0" xfId="0" applyAlignment="1" applyBorder="1" applyFont="1">
      <alignment vertical="center"/>
    </xf>
    <xf borderId="42" fillId="0" fontId="24" numFmtId="0" xfId="0" applyAlignment="1" applyBorder="1" applyFont="1">
      <alignment vertical="center"/>
    </xf>
    <xf borderId="43" fillId="0" fontId="24" numFmtId="0" xfId="0" applyAlignment="1" applyBorder="1" applyFont="1">
      <alignment vertical="center"/>
    </xf>
    <xf borderId="44" fillId="0" fontId="24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45" fillId="0" fontId="5" numFmtId="0" xfId="0" applyAlignment="1" applyBorder="1" applyFont="1">
      <alignment vertical="center"/>
    </xf>
    <xf borderId="46" fillId="11" fontId="23" numFmtId="0" xfId="0" applyAlignment="1" applyBorder="1" applyFont="1">
      <alignment vertical="center"/>
    </xf>
    <xf borderId="47" fillId="0" fontId="24" numFmtId="0" xfId="0" applyAlignment="1" applyBorder="1" applyFont="1">
      <alignment vertical="center"/>
    </xf>
    <xf borderId="48" fillId="15" fontId="25" numFmtId="0" xfId="0" applyAlignment="1" applyBorder="1" applyFont="1">
      <alignment horizontal="center" vertical="center"/>
    </xf>
    <xf borderId="49" fillId="0" fontId="26" numFmtId="0" xfId="0" applyAlignment="1" applyBorder="1" applyFont="1">
      <alignment readingOrder="0" vertical="center"/>
    </xf>
    <xf borderId="50" fillId="0" fontId="26" numFmtId="165" xfId="0" applyAlignment="1" applyBorder="1" applyFont="1" applyNumberFormat="1">
      <alignment readingOrder="0" vertical="center"/>
    </xf>
    <xf borderId="50" fillId="0" fontId="26" numFmtId="165" xfId="0" applyAlignment="1" applyBorder="1" applyFont="1" applyNumberFormat="1">
      <alignment vertical="center"/>
    </xf>
    <xf borderId="51" fillId="0" fontId="26" numFmtId="165" xfId="0" applyAlignment="1" applyBorder="1" applyFont="1" applyNumberFormat="1">
      <alignment vertical="center"/>
    </xf>
    <xf borderId="52" fillId="0" fontId="6" numFmtId="0" xfId="0" applyAlignment="1" applyBorder="1" applyFont="1">
      <alignment vertical="center"/>
    </xf>
    <xf borderId="53" fillId="15" fontId="25" numFmtId="0" xfId="0" applyAlignment="1" applyBorder="1" applyFont="1">
      <alignment horizontal="center" vertical="center"/>
    </xf>
    <xf borderId="54" fillId="0" fontId="26" numFmtId="165" xfId="0" applyAlignment="1" applyBorder="1" applyFont="1" applyNumberFormat="1">
      <alignment readingOrder="0" vertical="center"/>
    </xf>
    <xf borderId="55" fillId="0" fontId="26" numFmtId="0" xfId="0" applyAlignment="1" applyBorder="1" applyFont="1">
      <alignment readingOrder="0" vertical="center"/>
    </xf>
    <xf borderId="56" fillId="0" fontId="26" numFmtId="165" xfId="0" applyAlignment="1" applyBorder="1" applyFont="1" applyNumberFormat="1">
      <alignment readingOrder="0" vertical="center"/>
    </xf>
    <xf borderId="56" fillId="0" fontId="26" numFmtId="165" xfId="0" applyAlignment="1" applyBorder="1" applyFont="1" applyNumberFormat="1">
      <alignment vertical="center"/>
    </xf>
    <xf borderId="57" fillId="0" fontId="26" numFmtId="165" xfId="0" applyAlignment="1" applyBorder="1" applyFont="1" applyNumberFormat="1">
      <alignment vertical="center"/>
    </xf>
    <xf borderId="58" fillId="0" fontId="26" numFmtId="165" xfId="0" applyAlignment="1" applyBorder="1" applyFont="1" applyNumberFormat="1">
      <alignment readingOrder="0" vertical="center"/>
    </xf>
    <xf borderId="55" fillId="0" fontId="26" numFmtId="0" xfId="0" applyAlignment="1" applyBorder="1" applyFont="1">
      <alignment vertical="center"/>
    </xf>
    <xf borderId="59" fillId="15" fontId="25" numFmtId="0" xfId="0" applyAlignment="1" applyBorder="1" applyFont="1">
      <alignment horizontal="center" vertical="center"/>
    </xf>
    <xf borderId="60" fillId="0" fontId="26" numFmtId="0" xfId="0" applyAlignment="1" applyBorder="1" applyFont="1">
      <alignment readingOrder="0" vertical="center"/>
    </xf>
    <xf borderId="61" fillId="0" fontId="26" numFmtId="165" xfId="0" applyAlignment="1" applyBorder="1" applyFont="1" applyNumberFormat="1">
      <alignment vertical="center"/>
    </xf>
    <xf borderId="62" fillId="0" fontId="26" numFmtId="165" xfId="0" applyAlignment="1" applyBorder="1" applyFont="1" applyNumberFormat="1">
      <alignment vertical="center"/>
    </xf>
    <xf borderId="63" fillId="0" fontId="5" numFmtId="0" xfId="0" applyAlignment="1" applyBorder="1" applyFont="1">
      <alignment vertical="center"/>
    </xf>
    <xf borderId="64" fillId="5" fontId="27" numFmtId="0" xfId="0" applyAlignment="1" applyBorder="1" applyFont="1">
      <alignment vertical="center"/>
    </xf>
    <xf borderId="65" fillId="5" fontId="28" numFmtId="165" xfId="0" applyAlignment="1" applyBorder="1" applyFont="1" applyNumberFormat="1">
      <alignment vertical="center"/>
    </xf>
    <xf borderId="66" fillId="5" fontId="28" numFmtId="165" xfId="0" applyAlignment="1" applyBorder="1" applyFont="1" applyNumberFormat="1">
      <alignment vertical="center"/>
    </xf>
    <xf borderId="67" fillId="5" fontId="28" numFmtId="165" xfId="0" applyAlignment="1" applyBorder="1" applyFont="1" applyNumberFormat="1">
      <alignment vertical="center"/>
    </xf>
    <xf borderId="68" fillId="0" fontId="6" numFmtId="0" xfId="0" applyAlignment="1" applyBorder="1" applyFont="1">
      <alignment vertical="center"/>
    </xf>
    <xf borderId="69" fillId="0" fontId="6" numFmtId="0" xfId="0" applyAlignment="1" applyBorder="1" applyFont="1">
      <alignment vertical="center"/>
    </xf>
    <xf borderId="70" fillId="0" fontId="6" numFmtId="0" xfId="0" applyAlignment="1" applyBorder="1" applyFont="1">
      <alignment vertical="center"/>
    </xf>
    <xf borderId="71" fillId="0" fontId="26" numFmtId="165" xfId="0" applyAlignment="1" applyBorder="1" applyFont="1" applyNumberFormat="1">
      <alignment readingOrder="0" vertical="center"/>
    </xf>
    <xf borderId="72" fillId="0" fontId="26" numFmtId="165" xfId="0" applyAlignment="1" applyBorder="1" applyFont="1" applyNumberFormat="1">
      <alignment vertical="center"/>
    </xf>
    <xf borderId="73" fillId="0" fontId="26" numFmtId="165" xfId="0" applyAlignment="1" applyBorder="1" applyFont="1" applyNumberFormat="1">
      <alignment vertical="center"/>
    </xf>
    <xf borderId="74" fillId="11" fontId="23" numFmtId="0" xfId="0" applyAlignment="1" applyBorder="1" applyFont="1">
      <alignment vertical="center"/>
    </xf>
    <xf borderId="75" fillId="5" fontId="27" numFmtId="0" xfId="0" applyAlignment="1" applyBorder="1" applyFont="1">
      <alignment vertical="center"/>
    </xf>
    <xf borderId="76" fillId="0" fontId="7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77" fillId="11" fontId="23" numFmtId="0" xfId="0" applyAlignment="1" applyBorder="1" applyFont="1">
      <alignment vertical="center"/>
    </xf>
    <xf borderId="78" fillId="15" fontId="25" numFmtId="0" xfId="0" applyAlignment="1" applyBorder="1" applyFont="1">
      <alignment horizontal="center" vertical="center"/>
    </xf>
    <xf borderId="71" fillId="0" fontId="26" numFmtId="0" xfId="0" applyAlignment="1" applyBorder="1" applyFont="1">
      <alignment readingOrder="0" vertical="center"/>
    </xf>
    <xf borderId="79" fillId="15" fontId="25" numFmtId="0" xfId="0" applyAlignment="1" applyBorder="1" applyFont="1">
      <alignment horizontal="center" vertical="center"/>
    </xf>
    <xf borderId="80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0" fillId="0" fontId="29" numFmtId="0" xfId="0" applyAlignment="1" applyFont="1">
      <alignment readingOrder="0"/>
    </xf>
    <xf borderId="81" fillId="0" fontId="6" numFmtId="0" xfId="0" applyAlignment="1" applyBorder="1" applyFont="1">
      <alignment vertical="center"/>
    </xf>
    <xf borderId="72" fillId="0" fontId="26" numFmtId="165" xfId="0" applyAlignment="1" applyBorder="1" applyFont="1" applyNumberFormat="1">
      <alignment readingOrder="0" vertical="center"/>
    </xf>
    <xf borderId="49" fillId="0" fontId="26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82" fillId="11" fontId="23" numFmtId="0" xfId="0" applyAlignment="1" applyBorder="1" applyFont="1">
      <alignment vertical="center"/>
    </xf>
    <xf borderId="83" fillId="0" fontId="24" numFmtId="0" xfId="0" applyAlignment="1" applyBorder="1" applyFont="1">
      <alignment vertical="center"/>
    </xf>
    <xf borderId="24" fillId="15" fontId="25" numFmtId="0" xfId="0" applyAlignment="1" applyBorder="1" applyFont="1">
      <alignment horizontal="center" vertical="center"/>
    </xf>
    <xf borderId="84" fillId="0" fontId="26" numFmtId="165" xfId="0" applyAlignment="1" applyBorder="1" applyFont="1" applyNumberFormat="1">
      <alignment vertical="center"/>
    </xf>
    <xf borderId="85" fillId="0" fontId="6" numFmtId="0" xfId="0" applyAlignment="1" applyBorder="1" applyFont="1">
      <alignment vertical="center"/>
    </xf>
    <xf borderId="38" fillId="14" fontId="21" numFmtId="16" xfId="0" applyAlignment="1" applyBorder="1" applyFont="1" applyNumberFormat="1">
      <alignment vertical="center"/>
    </xf>
    <xf borderId="86" fillId="0" fontId="26" numFmtId="165" xfId="0" applyAlignment="1" applyBorder="1" applyFont="1" applyNumberFormat="1">
      <alignment vertical="center"/>
    </xf>
    <xf borderId="74" fillId="11" fontId="23" numFmtId="0" xfId="0" applyAlignment="1" applyBorder="1" applyFont="1">
      <alignment readingOrder="0" vertical="center"/>
    </xf>
    <xf borderId="55" fillId="0" fontId="26" numFmtId="165" xfId="0" applyAlignment="1" applyBorder="1" applyFont="1" applyNumberFormat="1">
      <alignment readingOrder="0" vertical="center"/>
    </xf>
    <xf borderId="55" fillId="0" fontId="26" numFmtId="165" xfId="0" applyAlignment="1" applyBorder="1" applyFont="1" applyNumberFormat="1">
      <alignment vertical="center"/>
    </xf>
    <xf borderId="87" fillId="0" fontId="26" numFmtId="165" xfId="0" applyAlignment="1" applyBorder="1" applyFont="1" applyNumberFormat="1">
      <alignment vertical="center"/>
    </xf>
    <xf borderId="88" fillId="0" fontId="26" numFmtId="165" xfId="0" applyAlignment="1" applyBorder="1" applyFont="1" applyNumberFormat="1">
      <alignment vertical="center"/>
    </xf>
    <xf borderId="89" fillId="5" fontId="27" numFmtId="0" xfId="0" applyAlignment="1" applyBorder="1" applyFont="1">
      <alignment vertical="center"/>
    </xf>
    <xf borderId="90" fillId="5" fontId="28" numFmtId="165" xfId="0" applyAlignment="1" applyBorder="1" applyFont="1" applyNumberFormat="1">
      <alignment vertical="center"/>
    </xf>
    <xf borderId="91" fillId="0" fontId="26" numFmtId="165" xfId="0" applyAlignment="1" applyBorder="1" applyFont="1" applyNumberFormat="1">
      <alignment readingOrder="0" vertical="center"/>
    </xf>
    <xf borderId="92" fillId="0" fontId="26" numFmtId="165" xfId="0" applyAlignment="1" applyBorder="1" applyFont="1" applyNumberFormat="1">
      <alignment vertical="center"/>
    </xf>
    <xf borderId="93" fillId="0" fontId="26" numFmtId="165" xfId="0" applyAlignment="1" applyBorder="1" applyFont="1" applyNumberFormat="1">
      <alignment vertical="center"/>
    </xf>
    <xf borderId="43" fillId="0" fontId="24" numFmtId="0" xfId="0" applyAlignment="1" applyBorder="1" applyFont="1">
      <alignment readingOrder="0" vertical="center"/>
    </xf>
    <xf borderId="44" fillId="0" fontId="24" numFmtId="0" xfId="0" applyAlignment="1" applyBorder="1" applyFont="1">
      <alignment readingOrder="0" vertical="center"/>
    </xf>
    <xf borderId="94" fillId="15" fontId="25" numFmtId="0" xfId="0" applyAlignment="1" applyBorder="1" applyFont="1">
      <alignment horizontal="center" readingOrder="0" vertical="center"/>
    </xf>
    <xf borderId="91" fillId="0" fontId="26" numFmtId="0" xfId="0" applyAlignment="1" applyBorder="1" applyFont="1">
      <alignment readingOrder="0" vertical="center"/>
    </xf>
    <xf borderId="92" fillId="0" fontId="26" numFmtId="165" xfId="0" applyAlignment="1" applyBorder="1" applyFont="1" applyNumberFormat="1">
      <alignment readingOrder="0" vertical="center"/>
    </xf>
    <xf borderId="95" fillId="0" fontId="26" numFmtId="165" xfId="0" applyAlignment="1" applyBorder="1" applyFont="1" applyNumberFormat="1">
      <alignment readingOrder="0" vertical="center"/>
    </xf>
    <xf borderId="96" fillId="0" fontId="26" numFmtId="165" xfId="0" applyAlignment="1" applyBorder="1" applyFont="1" applyNumberFormat="1">
      <alignment readingOrder="0" vertical="center"/>
    </xf>
    <xf borderId="97" fillId="0" fontId="26" numFmtId="165" xfId="0" applyAlignment="1" applyBorder="1" applyFont="1" applyNumberFormat="1">
      <alignment vertical="center"/>
    </xf>
    <xf borderId="54" fillId="0" fontId="26" numFmtId="0" xfId="0" applyAlignment="1" applyBorder="1" applyFont="1">
      <alignment readingOrder="0" vertical="center"/>
    </xf>
    <xf borderId="58" fillId="0" fontId="26" numFmtId="0" xfId="0" applyAlignment="1" applyBorder="1" applyFont="1">
      <alignment readingOrder="0" vertical="center"/>
    </xf>
    <xf borderId="71" fillId="0" fontId="26" numFmtId="0" xfId="0" applyAlignment="1" applyBorder="1" applyFont="1">
      <alignment vertical="center"/>
    </xf>
    <xf borderId="0" fillId="0" fontId="30" numFmtId="0" xfId="0" applyAlignment="1" applyFont="1">
      <alignment horizontal="center" vertical="center"/>
    </xf>
    <xf borderId="38" fillId="14" fontId="21" numFmtId="16" xfId="0" applyAlignment="1" applyBorder="1" applyFont="1" applyNumberFormat="1">
      <alignment readingOrder="0" vertical="center"/>
    </xf>
    <xf borderId="82" fillId="15" fontId="22" numFmtId="0" xfId="0" applyAlignment="1" applyBorder="1" applyFont="1">
      <alignment horizontal="center" vertical="center"/>
    </xf>
    <xf borderId="4" fillId="11" fontId="23" numFmtId="0" xfId="0" applyAlignment="1" applyBorder="1" applyFont="1">
      <alignment vertical="center"/>
    </xf>
    <xf borderId="98" fillId="0" fontId="6" numFmtId="0" xfId="0" applyAlignment="1" applyBorder="1" applyFont="1">
      <alignment vertical="center"/>
    </xf>
    <xf borderId="99" fillId="11" fontId="23" numFmtId="0" xfId="0" applyAlignment="1" applyBorder="1" applyFont="1">
      <alignment vertical="center"/>
    </xf>
    <xf borderId="100" fillId="0" fontId="24" numFmtId="0" xfId="0" applyAlignment="1" applyBorder="1" applyFont="1">
      <alignment vertical="center"/>
    </xf>
    <xf borderId="49" fillId="0" fontId="26" numFmtId="165" xfId="0" applyAlignment="1" applyBorder="1" applyFont="1" applyNumberFormat="1">
      <alignment readingOrder="0" vertical="center"/>
    </xf>
    <xf borderId="49" fillId="0" fontId="26" numFmtId="165" xfId="0" applyAlignment="1" applyBorder="1" applyFont="1" applyNumberFormat="1">
      <alignment vertical="center"/>
    </xf>
    <xf borderId="20" fillId="15" fontId="25" numFmtId="0" xfId="0" applyAlignment="1" applyBorder="1" applyFont="1">
      <alignment horizontal="center" vertical="center"/>
    </xf>
    <xf borderId="101" fillId="15" fontId="25" numFmtId="0" xfId="0" applyAlignment="1" applyBorder="1" applyFont="1">
      <alignment horizontal="center" vertical="center"/>
    </xf>
    <xf borderId="60" fillId="0" fontId="26" numFmtId="165" xfId="0" applyAlignment="1" applyBorder="1" applyFont="1" applyNumberFormat="1">
      <alignment vertical="center"/>
    </xf>
    <xf borderId="2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02" fillId="5" fontId="27" numFmtId="0" xfId="0" applyAlignment="1" applyBorder="1" applyFont="1">
      <alignment vertical="center"/>
    </xf>
    <xf borderId="103" fillId="0" fontId="7" numFmtId="0" xfId="0" applyAlignment="1" applyBorder="1" applyFont="1">
      <alignment horizontal="center" vertical="center"/>
    </xf>
    <xf borderId="104" fillId="11" fontId="23" numFmtId="0" xfId="0" applyAlignment="1" applyBorder="1" applyFont="1">
      <alignment vertical="center"/>
    </xf>
    <xf borderId="105" fillId="15" fontId="25" numFmtId="0" xfId="0" applyAlignment="1" applyBorder="1" applyFont="1">
      <alignment horizontal="center" vertical="center"/>
    </xf>
    <xf borderId="106" fillId="15" fontId="25" numFmtId="0" xfId="0" applyAlignment="1" applyBorder="1" applyFont="1">
      <alignment horizontal="center" vertical="center"/>
    </xf>
    <xf borderId="107" fillId="0" fontId="6" numFmtId="0" xfId="0" applyAlignment="1" applyBorder="1" applyFont="1">
      <alignment vertical="center"/>
    </xf>
    <xf borderId="52" fillId="0" fontId="7" numFmtId="0" xfId="0" applyAlignment="1" applyBorder="1" applyFont="1">
      <alignment horizontal="center" vertical="center"/>
    </xf>
    <xf borderId="27" fillId="0" fontId="6" numFmtId="0" xfId="0" applyAlignment="1" applyBorder="1" applyFont="1">
      <alignment vertical="center"/>
    </xf>
    <xf borderId="82" fillId="11" fontId="23" numFmtId="0" xfId="0" applyAlignment="1" applyBorder="1" applyFont="1">
      <alignment readingOrder="0" vertical="center"/>
    </xf>
    <xf borderId="83" fillId="0" fontId="24" numFmtId="0" xfId="0" applyAlignment="1" applyBorder="1" applyFont="1">
      <alignment readingOrder="0" vertical="center"/>
    </xf>
    <xf borderId="108" fillId="2" fontId="31" numFmtId="0" xfId="0" applyAlignment="1" applyBorder="1" applyFont="1">
      <alignment horizontal="center" readingOrder="0" vertical="center"/>
    </xf>
    <xf borderId="108" fillId="0" fontId="3" numFmtId="0" xfId="0" applyBorder="1" applyFont="1"/>
    <xf borderId="109" fillId="0" fontId="3" numFmtId="0" xfId="0" applyBorder="1" applyFont="1"/>
    <xf borderId="0" fillId="2" fontId="32" numFmtId="0" xfId="0" applyAlignment="1" applyFont="1">
      <alignment horizontal="center" readingOrder="0" vertical="center"/>
    </xf>
    <xf borderId="38" fillId="13" fontId="21" numFmtId="16" xfId="0" applyAlignment="1" applyBorder="1" applyFont="1" applyNumberFormat="1">
      <alignment horizontal="right"/>
    </xf>
    <xf borderId="108" fillId="2" fontId="32" numFmtId="0" xfId="0" applyAlignment="1" applyBorder="1" applyFont="1">
      <alignment horizontal="center" readingOrder="0" vertical="center"/>
    </xf>
    <xf borderId="3" fillId="2" fontId="33" numFmtId="0" xfId="0" applyAlignment="1" applyBorder="1" applyFont="1">
      <alignment vertical="center"/>
    </xf>
    <xf borderId="2" fillId="2" fontId="33" numFmtId="0" xfId="0" applyAlignment="1" applyBorder="1" applyFont="1">
      <alignment vertical="center"/>
    </xf>
    <xf borderId="82" fillId="15" fontId="34" numFmtId="0" xfId="0" applyBorder="1" applyFont="1"/>
    <xf borderId="4" fillId="11" fontId="23" numFmtId="0" xfId="0" applyBorder="1" applyFont="1"/>
    <xf borderId="83" fillId="0" fontId="24" numFmtId="0" xfId="0" applyBorder="1" applyFont="1"/>
    <xf borderId="98" fillId="0" fontId="34" numFmtId="0" xfId="0" applyBorder="1" applyFont="1"/>
    <xf borderId="0" fillId="0" fontId="34" numFmtId="0" xfId="0" applyFont="1"/>
    <xf borderId="99" fillId="11" fontId="23" numFmtId="0" xfId="0" applyBorder="1" applyFont="1"/>
    <xf borderId="100" fillId="0" fontId="24" numFmtId="0" xfId="0" applyBorder="1" applyFont="1"/>
    <xf borderId="24" fillId="15" fontId="25" numFmtId="0" xfId="0" applyAlignment="1" applyBorder="1" applyFont="1">
      <alignment horizontal="center"/>
    </xf>
    <xf borderId="49" fillId="0" fontId="35" numFmtId="0" xfId="0" applyBorder="1" applyFont="1"/>
    <xf borderId="49" fillId="0" fontId="35" numFmtId="165" xfId="0" applyAlignment="1" applyBorder="1" applyFont="1" applyNumberFormat="1">
      <alignment horizontal="right"/>
    </xf>
    <xf borderId="81" fillId="0" fontId="34" numFmtId="0" xfId="0" applyBorder="1" applyFont="1"/>
    <xf borderId="20" fillId="15" fontId="25" numFmtId="0" xfId="0" applyAlignment="1" applyBorder="1" applyFont="1">
      <alignment horizontal="center"/>
    </xf>
    <xf borderId="55" fillId="0" fontId="35" numFmtId="0" xfId="0" applyBorder="1" applyFont="1"/>
    <xf borderId="55" fillId="0" fontId="35" numFmtId="165" xfId="0" applyAlignment="1" applyBorder="1" applyFont="1" applyNumberFormat="1">
      <alignment horizontal="right"/>
    </xf>
    <xf borderId="55" fillId="0" fontId="35" numFmtId="0" xfId="0" applyAlignment="1" applyBorder="1" applyFont="1">
      <alignment readingOrder="0"/>
    </xf>
    <xf borderId="0" fillId="0" fontId="34" numFmtId="0" xfId="0" applyAlignment="1" applyFont="1">
      <alignment vertical="bottom"/>
    </xf>
    <xf borderId="101" fillId="15" fontId="25" numFmtId="0" xfId="0" applyAlignment="1" applyBorder="1" applyFont="1">
      <alignment horizontal="center"/>
    </xf>
    <xf borderId="60" fillId="0" fontId="35" numFmtId="0" xfId="0" applyBorder="1" applyFont="1"/>
    <xf borderId="60" fillId="0" fontId="34" numFmtId="165" xfId="0" applyBorder="1" applyFont="1" applyNumberFormat="1"/>
    <xf borderId="60" fillId="0" fontId="35" numFmtId="165" xfId="0" applyAlignment="1" applyBorder="1" applyFont="1" applyNumberFormat="1">
      <alignment horizontal="right"/>
    </xf>
    <xf borderId="0" fillId="0" fontId="34" numFmtId="0" xfId="0" applyAlignment="1" applyFont="1">
      <alignment vertical="bottom"/>
    </xf>
    <xf borderId="89" fillId="5" fontId="36" numFmtId="0" xfId="0" applyBorder="1" applyFont="1"/>
    <xf borderId="90" fillId="5" fontId="37" numFmtId="165" xfId="0" applyAlignment="1" applyBorder="1" applyFont="1" applyNumberFormat="1">
      <alignment horizontal="right"/>
    </xf>
    <xf borderId="28" fillId="0" fontId="34" numFmtId="0" xfId="0" applyBorder="1" applyFont="1"/>
    <xf borderId="9" fillId="0" fontId="34" numFmtId="0" xfId="0" applyBorder="1" applyFont="1"/>
    <xf borderId="82" fillId="11" fontId="23" numFmtId="0" xfId="0" applyBorder="1" applyFont="1"/>
    <xf borderId="102" fillId="5" fontId="36" numFmtId="0" xfId="0" applyBorder="1" applyFont="1"/>
    <xf borderId="70" fillId="0" fontId="34" numFmtId="0" xfId="0" applyBorder="1" applyFont="1"/>
    <xf borderId="103" fillId="0" fontId="34" numFmtId="0" xfId="0" applyBorder="1" applyFont="1"/>
    <xf borderId="104" fillId="11" fontId="23" numFmtId="0" xfId="0" applyBorder="1" applyFont="1"/>
    <xf borderId="105" fillId="15" fontId="25" numFmtId="0" xfId="0" applyAlignment="1" applyBorder="1" applyFont="1">
      <alignment horizontal="center"/>
    </xf>
    <xf borderId="106" fillId="15" fontId="25" numFmtId="0" xfId="0" applyAlignment="1" applyBorder="1" applyFont="1">
      <alignment horizontal="center"/>
    </xf>
    <xf borderId="107" fillId="0" fontId="34" numFmtId="0" xfId="0" applyBorder="1" applyFont="1"/>
    <xf borderId="52" fillId="0" fontId="34" numFmtId="0" xfId="0" applyBorder="1" applyFont="1"/>
    <xf borderId="27" fillId="0" fontId="34" numFmtId="0" xfId="0" applyBorder="1" applyFont="1"/>
    <xf borderId="0" fillId="5" fontId="13" numFmtId="0" xfId="0" applyAlignment="1" applyFont="1">
      <alignment horizontal="center" vertical="center"/>
    </xf>
    <xf borderId="0" fillId="10" fontId="17" numFmtId="0" xfId="0" applyAlignment="1" applyFont="1">
      <alignment horizontal="center" vertical="center"/>
    </xf>
    <xf borderId="0" fillId="10" fontId="17" numFmtId="0" xfId="0" applyAlignment="1" applyFont="1">
      <alignment horizontal="center"/>
    </xf>
    <xf borderId="110" fillId="0" fontId="3" numFmtId="0" xfId="0" applyBorder="1" applyFont="1"/>
    <xf borderId="110" fillId="10" fontId="17" numFmtId="164" xfId="0" applyBorder="1" applyFont="1" applyNumberFormat="1"/>
    <xf borderId="111" fillId="14" fontId="21" numFmtId="16" xfId="0" applyAlignment="1" applyBorder="1" applyFont="1" applyNumberFormat="1">
      <alignment readingOrder="0" vertical="center"/>
    </xf>
    <xf borderId="112" fillId="14" fontId="21" numFmtId="0" xfId="0" applyAlignment="1" applyBorder="1" applyFont="1">
      <alignment vertical="center"/>
    </xf>
    <xf borderId="49" fillId="0" fontId="35" numFmtId="0" xfId="0" applyBorder="1" applyFont="1"/>
    <xf borderId="83" fillId="0" fontId="24" numFmtId="165" xfId="0" applyBorder="1" applyFont="1" applyNumberFormat="1"/>
    <xf borderId="1" fillId="2" fontId="33" numFmtId="0" xfId="0" applyAlignment="1" applyBorder="1" applyFont="1">
      <alignment horizontal="center" vertical="center"/>
    </xf>
    <xf borderId="108" fillId="2" fontId="31" numFmtId="0" xfId="0" applyAlignment="1" applyBorder="1" applyFont="1">
      <alignment horizontal="left" readingOrder="0"/>
    </xf>
    <xf borderId="0" fillId="2" fontId="38" numFmtId="0" xfId="0" applyAlignment="1" applyFont="1">
      <alignment horizontal="left" readingOrder="0" vertical="center"/>
    </xf>
    <xf borderId="109" fillId="2" fontId="31" numFmtId="0" xfId="0" applyAlignment="1" applyBorder="1" applyFont="1">
      <alignment horizontal="left" readingOrder="0"/>
    </xf>
    <xf borderId="0" fillId="0" fontId="33" numFmtId="0" xfId="0" applyAlignment="1" applyFont="1">
      <alignment vertical="center"/>
    </xf>
    <xf borderId="0" fillId="0" fontId="39" numFmtId="0" xfId="0" applyAlignment="1" applyFont="1">
      <alignment horizontal="center"/>
    </xf>
    <xf borderId="113" fillId="3" fontId="40" numFmtId="0" xfId="0" applyAlignment="1" applyBorder="1" applyFont="1">
      <alignment horizontal="center"/>
    </xf>
    <xf borderId="20" fillId="3" fontId="40" numFmtId="0" xfId="0" applyAlignment="1" applyBorder="1" applyFont="1">
      <alignment horizontal="center"/>
    </xf>
    <xf borderId="114" fillId="5" fontId="41" numFmtId="0" xfId="0" applyBorder="1" applyFont="1"/>
    <xf borderId="36" fillId="5" fontId="42" numFmtId="164" xfId="0" applyAlignment="1" applyBorder="1" applyFont="1" applyNumberFormat="1">
      <alignment horizontal="center"/>
    </xf>
    <xf borderId="101" fillId="5" fontId="42" numFmtId="164" xfId="0" applyAlignment="1" applyBorder="1" applyFont="1" applyNumberFormat="1">
      <alignment horizontal="center"/>
    </xf>
    <xf borderId="0" fillId="0" fontId="26" numFmtId="0" xfId="0" applyAlignment="1" applyFont="1">
      <alignment vertical="center"/>
    </xf>
    <xf borderId="0" fillId="0" fontId="26" numFmtId="165" xfId="0" applyAlignment="1" applyFont="1" applyNumberFormat="1">
      <alignment vertical="center"/>
    </xf>
    <xf borderId="82" fillId="12" fontId="26" numFmtId="0" xfId="0" applyAlignment="1" applyBorder="1" applyFont="1">
      <alignment vertical="center"/>
    </xf>
    <xf borderId="82" fillId="12" fontId="26" numFmtId="165" xfId="0" applyAlignment="1" applyBorder="1" applyFont="1" applyNumberFormat="1">
      <alignment vertical="center"/>
    </xf>
    <xf borderId="0" fillId="0" fontId="39" numFmtId="0" xfId="0" applyFont="1"/>
    <xf borderId="0" fillId="0" fontId="39" numFmtId="164" xfId="0" applyAlignment="1" applyFont="1" applyNumberFormat="1">
      <alignment horizontal="center"/>
    </xf>
    <xf borderId="4" fillId="8" fontId="41" numFmtId="0" xfId="0" applyAlignment="1" applyBorder="1" applyFont="1">
      <alignment horizontal="center" vertical="center"/>
    </xf>
    <xf borderId="4" fillId="8" fontId="42" numFmtId="166" xfId="0" applyAlignment="1" applyBorder="1" applyFont="1" applyNumberFormat="1">
      <alignment horizontal="center" vertical="center"/>
    </xf>
    <xf borderId="82" fillId="16" fontId="26" numFmtId="0" xfId="0" applyAlignment="1" applyBorder="1" applyFill="1" applyFont="1">
      <alignment vertical="center"/>
    </xf>
    <xf borderId="82" fillId="16" fontId="26" numFmtId="165" xfId="0" applyAlignment="1" applyBorder="1" applyFont="1" applyNumberFormat="1">
      <alignment vertical="center"/>
    </xf>
    <xf borderId="0" fillId="0" fontId="26" numFmtId="165" xfId="0" applyAlignment="1" applyFont="1" applyNumberFormat="1">
      <alignment readingOrder="0" vertical="center"/>
    </xf>
    <xf borderId="82" fillId="16" fontId="26" numFmtId="0" xfId="0" applyAlignment="1" applyBorder="1" applyFont="1">
      <alignment readingOrder="0" vertical="center"/>
    </xf>
    <xf borderId="9" fillId="0" fontId="39" numFmtId="0" xfId="0" applyBorder="1" applyFont="1"/>
    <xf borderId="98" fillId="0" fontId="39" numFmtId="164" xfId="0" applyAlignment="1" applyBorder="1" applyFont="1" applyNumberFormat="1">
      <alignment horizontal="center"/>
    </xf>
    <xf borderId="8" fillId="0" fontId="39" numFmtId="164" xfId="0" applyAlignment="1" applyBorder="1" applyFont="1" applyNumberFormat="1">
      <alignment horizontal="center"/>
    </xf>
    <xf borderId="114" fillId="17" fontId="43" numFmtId="0" xfId="0" applyAlignment="1" applyBorder="1" applyFill="1" applyFont="1">
      <alignment readingOrder="0"/>
    </xf>
    <xf borderId="36" fillId="17" fontId="44" numFmtId="164" xfId="0" applyAlignment="1" applyBorder="1" applyFont="1" applyNumberFormat="1">
      <alignment horizontal="right"/>
    </xf>
    <xf borderId="82" fillId="18" fontId="45" numFmtId="0" xfId="0" applyBorder="1" applyFill="1" applyFont="1"/>
    <xf borderId="82" fillId="18" fontId="41" numFmtId="0" xfId="0" applyAlignment="1" applyBorder="1" applyFont="1">
      <alignment horizontal="center"/>
    </xf>
    <xf borderId="0" fillId="0" fontId="35" numFmtId="165" xfId="0" applyAlignment="1" applyFont="1" applyNumberFormat="1">
      <alignment horizontal="right"/>
    </xf>
    <xf borderId="82" fillId="19" fontId="26" numFmtId="0" xfId="0" applyAlignment="1" applyBorder="1" applyFill="1" applyFont="1">
      <alignment vertical="center"/>
    </xf>
    <xf borderId="0" fillId="19" fontId="35" numFmtId="165" xfId="0" applyAlignment="1" applyFont="1" applyNumberFormat="1">
      <alignment horizontal="right"/>
    </xf>
    <xf borderId="0" fillId="19" fontId="26" numFmtId="165" xfId="0" applyAlignment="1" applyFont="1" applyNumberFormat="1">
      <alignment readingOrder="0" vertical="center"/>
    </xf>
    <xf borderId="82" fillId="19" fontId="26" numFmtId="165" xfId="0" applyAlignment="1" applyBorder="1" applyFont="1" applyNumberFormat="1">
      <alignment vertical="center"/>
    </xf>
    <xf borderId="82" fillId="4" fontId="26" numFmtId="0" xfId="0" applyAlignment="1" applyBorder="1" applyFont="1">
      <alignment vertical="center"/>
    </xf>
    <xf borderId="0" fillId="4" fontId="35" numFmtId="165" xfId="0" applyAlignment="1" applyFont="1" applyNumberFormat="1">
      <alignment horizontal="right"/>
    </xf>
    <xf borderId="0" fillId="4" fontId="26" numFmtId="165" xfId="0" applyAlignment="1" applyFont="1" applyNumberFormat="1">
      <alignment readingOrder="0" vertical="center"/>
    </xf>
    <xf borderId="82" fillId="4" fontId="26" numFmtId="165" xfId="0" applyAlignment="1" applyBorder="1" applyFont="1" applyNumberFormat="1">
      <alignment vertical="center"/>
    </xf>
    <xf borderId="82" fillId="7" fontId="26" numFmtId="0" xfId="0" applyAlignment="1" applyBorder="1" applyFont="1">
      <alignment vertical="center"/>
    </xf>
    <xf borderId="0" fillId="7" fontId="35" numFmtId="165" xfId="0" applyAlignment="1" applyFont="1" applyNumberFormat="1">
      <alignment horizontal="right"/>
    </xf>
    <xf borderId="0" fillId="7" fontId="26" numFmtId="165" xfId="0" applyAlignment="1" applyFont="1" applyNumberFormat="1">
      <alignment readingOrder="0" vertical="center"/>
    </xf>
    <xf borderId="82" fillId="7" fontId="26" numFmtId="165" xfId="0" applyAlignment="1" applyBorder="1" applyFont="1" applyNumberFormat="1">
      <alignment vertical="center"/>
    </xf>
    <xf borderId="114" fillId="18" fontId="14" numFmtId="0" xfId="0" applyBorder="1" applyFont="1"/>
    <xf borderId="36" fillId="18" fontId="42" numFmtId="164" xfId="0" applyAlignment="1" applyBorder="1" applyFont="1" applyNumberFormat="1">
      <alignment horizontal="center"/>
    </xf>
    <xf borderId="0" fillId="0" fontId="46" numFmtId="0" xfId="0" applyAlignment="1" applyFont="1">
      <alignment horizontal="center"/>
    </xf>
  </cellXfs>
  <cellStyles count="1">
    <cellStyle xfId="0" name="Normal" builtinId="0"/>
  </cellStyles>
  <dxfs count="1">
    <dxf>
      <font>
        <color rgb="FFC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85725</xdr:colOff>
      <xdr:row>1</xdr:row>
      <xdr:rowOff>219075</xdr:rowOff>
    </xdr:from>
    <xdr:ext cx="1781175" cy="5838825"/>
    <xdr:pic>
      <xdr:nvPicPr>
        <xdr:cNvPr id="41752374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0</xdr:row>
      <xdr:rowOff>76200</xdr:rowOff>
    </xdr:from>
    <xdr:ext cx="38100" cy="476250"/>
    <xdr:grpSp>
      <xdr:nvGrpSpPr>
        <xdr:cNvPr id="2" name="Shape 2"/>
        <xdr:cNvGrpSpPr/>
      </xdr:nvGrpSpPr>
      <xdr:grpSpPr>
        <a:xfrm>
          <a:off x="5346000" y="3541875"/>
          <a:ext cx="0" cy="476250"/>
          <a:chOff x="5346000" y="3541875"/>
          <a:chExt cx="0" cy="476250"/>
        </a:xfrm>
      </xdr:grpSpPr>
      <xdr:cxnSp>
        <xdr:nvCxnSpPr>
          <xdr:cNvPr id="3" name="Shape 3"/>
          <xdr:cNvCxnSpPr/>
        </xdr:nvCxnSpPr>
        <xdr:spPr>
          <a:xfrm>
            <a:off x="5346000" y="3541875"/>
            <a:ext cx="0" cy="476250"/>
          </a:xfrm>
          <a:prstGeom prst="straightConnector1">
            <a:avLst/>
          </a:prstGeom>
          <a:noFill/>
          <a:ln cap="flat" cmpd="sng" w="28575">
            <a:solidFill>
              <a:srgbClr val="F9ABF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7F7F7F"/>
      </a:dk1>
      <a:lt1>
        <a:srgbClr val="FFFFFF"/>
      </a:lt1>
      <a:dk2>
        <a:srgbClr val="7F7F7F"/>
      </a:dk2>
      <a:lt2>
        <a:srgbClr val="FFFFFF"/>
      </a:lt2>
      <a:accent1>
        <a:srgbClr val="FEB2FF"/>
      </a:accent1>
      <a:accent2>
        <a:srgbClr val="953734"/>
      </a:accent2>
      <a:accent3>
        <a:srgbClr val="00B050"/>
      </a:accent3>
      <a:accent4>
        <a:srgbClr val="5F497A"/>
      </a:accent4>
      <a:accent5>
        <a:srgbClr val="31859B"/>
      </a:accent5>
      <a:accent6>
        <a:srgbClr val="E36C09"/>
      </a:accent6>
      <a:hlink>
        <a:srgbClr val="00B0F0"/>
      </a:hlink>
      <a:folHlink>
        <a:srgbClr val="00B0F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18" width="1.86"/>
    <col customWidth="1" min="19" max="19" width="7.14"/>
    <col customWidth="1" min="20" max="26" width="9.14"/>
  </cols>
  <sheetData>
    <row r="1" ht="79.5" customHeight="1">
      <c r="A1" s="1">
        <v>4.0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f>2398+K66</f>
        <v>7488</v>
      </c>
      <c r="J4" s="14">
        <v>1940.0</v>
      </c>
      <c r="K4" s="13">
        <f>1940+J66</f>
        <v>2230</v>
      </c>
      <c r="L4" s="15"/>
      <c r="M4" s="16"/>
      <c r="N4" s="17">
        <f>I4-K4</f>
        <v>5258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f>2500+Q67</f>
        <v>2500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9988</v>
      </c>
      <c r="J6" s="30"/>
      <c r="K6" s="29">
        <f>+K4+K5</f>
        <v>4730</v>
      </c>
      <c r="L6" s="31"/>
      <c r="M6" s="30"/>
      <c r="N6" s="32">
        <f t="shared" ref="N6:N7" si="1">+I6-K6</f>
        <v>5258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+SUM(I22,O24,I29,O34,I38,O42,I51,O52,I57,O59,I66,O67,)</f>
        <v>19252.3</v>
      </c>
      <c r="J7" s="38"/>
      <c r="K7" s="37">
        <f>+SUM(J22,J29,J38,J51,J57,J66,P67,P59,P52,P42,P34,P24,)</f>
        <v>3651</v>
      </c>
      <c r="L7" s="39"/>
      <c r="M7" s="38"/>
      <c r="N7" s="40">
        <f t="shared" si="1"/>
        <v>15601.3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-9264.3</v>
      </c>
      <c r="J8" s="47"/>
      <c r="K8" s="46">
        <f>+K6-K7</f>
        <v>1079</v>
      </c>
      <c r="L8" s="48"/>
      <c r="M8" s="47"/>
      <c r="N8" s="49">
        <f>I8-K8</f>
        <v>-10343.3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SUM(D10:D114)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55">
        <v>45658.0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55">
        <v>45659.0</v>
      </c>
      <c r="C11" s="56"/>
      <c r="D11" s="56"/>
      <c r="E11" s="56"/>
      <c r="F11" s="7"/>
      <c r="G11" s="57"/>
      <c r="H11" s="58" t="s">
        <v>14</v>
      </c>
      <c r="I11" s="59" t="s">
        <v>1</v>
      </c>
      <c r="J11" s="60" t="s">
        <v>2</v>
      </c>
      <c r="K11" s="61" t="s">
        <v>3</v>
      </c>
      <c r="L11" s="62"/>
      <c r="M11" s="63"/>
      <c r="N11" s="64" t="s">
        <v>15</v>
      </c>
      <c r="O11" s="65" t="s">
        <v>1</v>
      </c>
      <c r="P11" s="60" t="s">
        <v>2</v>
      </c>
      <c r="Q11" s="61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55">
        <v>45660.0</v>
      </c>
      <c r="C12" s="56"/>
      <c r="D12" s="56"/>
      <c r="E12" s="56"/>
      <c r="F12" s="7"/>
      <c r="G12" s="66">
        <v>1.0</v>
      </c>
      <c r="H12" s="67" t="s">
        <v>16</v>
      </c>
      <c r="I12" s="68">
        <v>150.0</v>
      </c>
      <c r="J12" s="69">
        <f>SUMIF(E$10:E$146,"1",D$10:D$146)</f>
        <v>0</v>
      </c>
      <c r="K12" s="70">
        <f t="shared" ref="K12:K22" si="2">+I12-J12</f>
        <v>150</v>
      </c>
      <c r="L12" s="71"/>
      <c r="M12" s="72">
        <v>40.0</v>
      </c>
      <c r="N12" s="67" t="s">
        <v>17</v>
      </c>
      <c r="O12" s="73">
        <v>58.0</v>
      </c>
      <c r="P12" s="68">
        <v>45.0</v>
      </c>
      <c r="Q12" s="70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55">
        <v>45661.0</v>
      </c>
      <c r="C13" s="56"/>
      <c r="D13" s="56"/>
      <c r="E13" s="56"/>
      <c r="F13" s="7"/>
      <c r="G13" s="66">
        <v>2.0</v>
      </c>
      <c r="H13" s="74" t="s">
        <v>18</v>
      </c>
      <c r="I13" s="75">
        <f>J66</f>
        <v>290</v>
      </c>
      <c r="J13" s="76">
        <f>SUMIF(E$10:E$146,"2",D$10:D$146)</f>
        <v>0</v>
      </c>
      <c r="K13" s="77">
        <f t="shared" si="2"/>
        <v>290</v>
      </c>
      <c r="L13" s="71"/>
      <c r="M13" s="66">
        <v>41.0</v>
      </c>
      <c r="N13" s="74" t="s">
        <v>19</v>
      </c>
      <c r="O13" s="78">
        <v>68.0</v>
      </c>
      <c r="P13" s="76">
        <f>SUMIF(E$10:E$146,"41",D$10:D$146)</f>
        <v>0</v>
      </c>
      <c r="Q13" s="77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55">
        <v>45662.0</v>
      </c>
      <c r="C14" s="56"/>
      <c r="D14" s="56"/>
      <c r="E14" s="56"/>
      <c r="F14" s="7"/>
      <c r="G14" s="66">
        <v>3.0</v>
      </c>
      <c r="H14" s="74" t="s">
        <v>20</v>
      </c>
      <c r="I14" s="75">
        <v>250.0</v>
      </c>
      <c r="J14" s="76">
        <f>SUMIF(E$10:E$146,"3",D$10:D$146)</f>
        <v>0</v>
      </c>
      <c r="K14" s="77">
        <f t="shared" si="2"/>
        <v>250</v>
      </c>
      <c r="L14" s="71"/>
      <c r="M14" s="66">
        <v>42.0</v>
      </c>
      <c r="N14" s="79" t="s">
        <v>21</v>
      </c>
      <c r="O14" s="78">
        <v>440.0</v>
      </c>
      <c r="P14" s="75">
        <v>0.0</v>
      </c>
      <c r="Q14" s="77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55">
        <v>45663.0</v>
      </c>
      <c r="C15" s="56"/>
      <c r="D15" s="56"/>
      <c r="E15" s="56"/>
      <c r="F15" s="7"/>
      <c r="G15" s="66">
        <v>4.0</v>
      </c>
      <c r="H15" s="74" t="s">
        <v>22</v>
      </c>
      <c r="I15" s="75">
        <v>1200.0</v>
      </c>
      <c r="J15" s="75">
        <v>1400.0</v>
      </c>
      <c r="K15" s="77">
        <f t="shared" si="2"/>
        <v>-200</v>
      </c>
      <c r="L15" s="71"/>
      <c r="M15" s="66">
        <v>43.0</v>
      </c>
      <c r="N15" s="74" t="s">
        <v>23</v>
      </c>
      <c r="O15" s="78">
        <v>240.0</v>
      </c>
      <c r="P15" s="75">
        <v>143.0</v>
      </c>
      <c r="Q15" s="77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55">
        <v>45664.0</v>
      </c>
      <c r="C16" s="56"/>
      <c r="D16" s="56"/>
      <c r="E16" s="56"/>
      <c r="F16" s="7"/>
      <c r="G16" s="66">
        <v>5.0</v>
      </c>
      <c r="H16" s="74" t="s">
        <v>24</v>
      </c>
      <c r="I16" s="75">
        <v>120.0</v>
      </c>
      <c r="J16" s="76">
        <f>SUMIF(E$10:E$146,"5",D$10:D$146)</f>
        <v>0</v>
      </c>
      <c r="K16" s="77">
        <f t="shared" si="2"/>
        <v>120</v>
      </c>
      <c r="L16" s="71"/>
      <c r="M16" s="66">
        <v>44.0</v>
      </c>
      <c r="N16" s="74" t="s">
        <v>25</v>
      </c>
      <c r="O16" s="78">
        <v>110.0</v>
      </c>
      <c r="P16" s="75">
        <v>240.0</v>
      </c>
      <c r="Q16" s="77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55">
        <v>45665.0</v>
      </c>
      <c r="C17" s="56"/>
      <c r="D17" s="56"/>
      <c r="E17" s="56"/>
      <c r="F17" s="7"/>
      <c r="G17" s="66">
        <v>6.0</v>
      </c>
      <c r="H17" s="79" t="s">
        <v>26</v>
      </c>
      <c r="I17" s="75">
        <v>150.0</v>
      </c>
      <c r="J17" s="75">
        <v>150.0</v>
      </c>
      <c r="K17" s="77">
        <f t="shared" si="2"/>
        <v>0</v>
      </c>
      <c r="L17" s="71"/>
      <c r="M17" s="66">
        <v>45.0</v>
      </c>
      <c r="N17" s="74" t="s">
        <v>27</v>
      </c>
      <c r="O17" s="78">
        <v>0.0</v>
      </c>
      <c r="P17" s="76">
        <f>SUMIF(E$10:E$146,"45",D$10:D$146)</f>
        <v>0</v>
      </c>
      <c r="Q17" s="77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55">
        <v>45666.0</v>
      </c>
      <c r="C18" s="56"/>
      <c r="D18" s="56"/>
      <c r="E18" s="56"/>
      <c r="F18" s="7"/>
      <c r="G18" s="66">
        <v>7.0</v>
      </c>
      <c r="H18" s="79" t="s">
        <v>28</v>
      </c>
      <c r="I18" s="75">
        <v>77.0</v>
      </c>
      <c r="J18" s="75">
        <v>77.0</v>
      </c>
      <c r="K18" s="77">
        <f t="shared" si="2"/>
        <v>0</v>
      </c>
      <c r="L18" s="71"/>
      <c r="M18" s="66">
        <v>46.0</v>
      </c>
      <c r="N18" s="74" t="s">
        <v>29</v>
      </c>
      <c r="O18" s="78">
        <v>0.0</v>
      </c>
      <c r="P18" s="76">
        <f>SUMIF(E$10:E$146,"46",D$10:D$146)</f>
        <v>0</v>
      </c>
      <c r="Q18" s="77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55">
        <v>45667.0</v>
      </c>
      <c r="C19" s="56"/>
      <c r="D19" s="56"/>
      <c r="E19" s="56"/>
      <c r="F19" s="7"/>
      <c r="G19" s="66">
        <v>8.0</v>
      </c>
      <c r="H19" s="79" t="s">
        <v>30</v>
      </c>
      <c r="I19" s="75">
        <v>55.0</v>
      </c>
      <c r="J19" s="75">
        <v>55.0</v>
      </c>
      <c r="K19" s="77">
        <f t="shared" si="2"/>
        <v>0</v>
      </c>
      <c r="L19" s="71"/>
      <c r="M19" s="66">
        <v>47.0</v>
      </c>
      <c r="N19" s="74" t="s">
        <v>31</v>
      </c>
      <c r="O19" s="78">
        <v>0.0</v>
      </c>
      <c r="P19" s="76">
        <f>SUMIF(E$10:E$146,"47",D$10:D$146)</f>
        <v>0</v>
      </c>
      <c r="Q19" s="77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55">
        <v>45668.0</v>
      </c>
      <c r="C20" s="56"/>
      <c r="D20" s="56"/>
      <c r="E20" s="56"/>
      <c r="F20" s="7"/>
      <c r="G20" s="66">
        <v>9.0</v>
      </c>
      <c r="H20" s="74" t="s">
        <v>32</v>
      </c>
      <c r="I20" s="75">
        <v>175.0</v>
      </c>
      <c r="J20" s="75">
        <v>175.0</v>
      </c>
      <c r="K20" s="77">
        <f t="shared" si="2"/>
        <v>0</v>
      </c>
      <c r="L20" s="71"/>
      <c r="M20" s="66">
        <v>48.0</v>
      </c>
      <c r="N20" s="74"/>
      <c r="O20" s="78">
        <v>0.0</v>
      </c>
      <c r="P20" s="76">
        <f>SUMIF(E$10:E$146,"48",D$10:D$146)</f>
        <v>0</v>
      </c>
      <c r="Q20" s="77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55">
        <v>45669.0</v>
      </c>
      <c r="C21" s="56"/>
      <c r="D21" s="56"/>
      <c r="E21" s="56"/>
      <c r="F21" s="7"/>
      <c r="G21" s="80">
        <v>10.0</v>
      </c>
      <c r="H21" s="81" t="s">
        <v>33</v>
      </c>
      <c r="I21" s="75">
        <v>0.0</v>
      </c>
      <c r="J21" s="82">
        <f>SUMIF(E$10:E$146,"10",D$10:D$146)</f>
        <v>0</v>
      </c>
      <c r="K21" s="83">
        <f t="shared" si="2"/>
        <v>0</v>
      </c>
      <c r="L21" s="71"/>
      <c r="M21" s="66">
        <v>49.0</v>
      </c>
      <c r="N21" s="74"/>
      <c r="O21" s="78">
        <v>0.0</v>
      </c>
      <c r="P21" s="75">
        <v>0.0</v>
      </c>
      <c r="Q21" s="77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55">
        <v>45670.0</v>
      </c>
      <c r="C22" s="56"/>
      <c r="D22" s="56"/>
      <c r="E22" s="56"/>
      <c r="F22" s="7"/>
      <c r="G22" s="84"/>
      <c r="H22" s="85" t="s">
        <v>34</v>
      </c>
      <c r="I22" s="86">
        <f t="shared" ref="I22:J22" si="4">SUM(I12:I21)</f>
        <v>2467</v>
      </c>
      <c r="J22" s="87">
        <f t="shared" si="4"/>
        <v>1857</v>
      </c>
      <c r="K22" s="88">
        <f t="shared" si="2"/>
        <v>610</v>
      </c>
      <c r="L22" s="71"/>
      <c r="M22" s="66">
        <v>50.0</v>
      </c>
      <c r="N22" s="74"/>
      <c r="O22" s="78">
        <v>0.0</v>
      </c>
      <c r="P22" s="75">
        <v>0.0</v>
      </c>
      <c r="Q22" s="77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55">
        <v>45671.0</v>
      </c>
      <c r="C23" s="56"/>
      <c r="D23" s="56"/>
      <c r="E23" s="56"/>
      <c r="F23" s="7"/>
      <c r="G23" s="8"/>
      <c r="H23" s="89"/>
      <c r="I23" s="90"/>
      <c r="J23" s="90"/>
      <c r="K23" s="90"/>
      <c r="L23" s="91"/>
      <c r="M23" s="66">
        <v>51.0</v>
      </c>
      <c r="N23" s="74"/>
      <c r="O23" s="92">
        <v>0.0</v>
      </c>
      <c r="P23" s="93">
        <f>SUMIF(E$10:E$146,"51",D$10:D$146)</f>
        <v>0</v>
      </c>
      <c r="Q23" s="94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55">
        <v>45672.0</v>
      </c>
      <c r="C24" s="56"/>
      <c r="D24" s="56"/>
      <c r="E24" s="56"/>
      <c r="F24" s="7"/>
      <c r="G24" s="63"/>
      <c r="H24" s="95" t="s">
        <v>35</v>
      </c>
      <c r="I24" s="60" t="s">
        <v>1</v>
      </c>
      <c r="J24" s="60" t="s">
        <v>2</v>
      </c>
      <c r="K24" s="61" t="s">
        <v>3</v>
      </c>
      <c r="L24" s="71"/>
      <c r="M24" s="84"/>
      <c r="N24" s="96" t="s">
        <v>34</v>
      </c>
      <c r="O24" s="87">
        <f t="shared" ref="O24:P24" si="5">SUM(O12:O23)</f>
        <v>916</v>
      </c>
      <c r="P24" s="87">
        <f t="shared" si="5"/>
        <v>428</v>
      </c>
      <c r="Q24" s="88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55">
        <v>45673.0</v>
      </c>
      <c r="C25" s="56"/>
      <c r="D25" s="56"/>
      <c r="E25" s="56"/>
      <c r="F25" s="7"/>
      <c r="G25" s="66">
        <v>11.0</v>
      </c>
      <c r="H25" s="79" t="s">
        <v>36</v>
      </c>
      <c r="I25" s="73">
        <v>450.0</v>
      </c>
      <c r="J25" s="68">
        <v>450.0</v>
      </c>
      <c r="K25" s="70">
        <f t="shared" ref="K25:K29" si="6">+I25-J25</f>
        <v>0</v>
      </c>
      <c r="L25" s="71"/>
      <c r="M25" s="97"/>
      <c r="N25" s="98"/>
      <c r="O25" s="98"/>
      <c r="P25" s="98"/>
      <c r="Q25" s="98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55">
        <v>45674.0</v>
      </c>
      <c r="C26" s="56"/>
      <c r="D26" s="56"/>
      <c r="E26" s="56"/>
      <c r="F26" s="7"/>
      <c r="G26" s="66">
        <v>12.0</v>
      </c>
      <c r="H26" s="79" t="s">
        <v>37</v>
      </c>
      <c r="I26" s="78">
        <v>140.0</v>
      </c>
      <c r="J26" s="75">
        <v>140.0</v>
      </c>
      <c r="K26" s="77">
        <f t="shared" si="6"/>
        <v>0</v>
      </c>
      <c r="L26" s="71"/>
      <c r="M26" s="63"/>
      <c r="N26" s="99" t="s">
        <v>38</v>
      </c>
      <c r="O26" s="60" t="s">
        <v>1</v>
      </c>
      <c r="P26" s="60" t="s">
        <v>2</v>
      </c>
      <c r="Q26" s="61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55">
        <v>45675.0</v>
      </c>
      <c r="C27" s="56"/>
      <c r="D27" s="56"/>
      <c r="E27" s="56"/>
      <c r="F27" s="7"/>
      <c r="G27" s="66">
        <v>13.0</v>
      </c>
      <c r="H27" s="74" t="s">
        <v>39</v>
      </c>
      <c r="I27" s="78">
        <v>100.0</v>
      </c>
      <c r="J27" s="75">
        <v>250.0</v>
      </c>
      <c r="K27" s="77">
        <f t="shared" si="6"/>
        <v>-150</v>
      </c>
      <c r="L27" s="71"/>
      <c r="M27" s="100">
        <v>52.0</v>
      </c>
      <c r="N27" s="79" t="s">
        <v>40</v>
      </c>
      <c r="O27" s="73">
        <v>0.0</v>
      </c>
      <c r="P27" s="69">
        <f>SUMIF(E$10:E$146,"52",D$10:D$146)</f>
        <v>0</v>
      </c>
      <c r="Q27" s="70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55">
        <v>45676.0</v>
      </c>
      <c r="C28" s="56"/>
      <c r="D28" s="56"/>
      <c r="E28" s="56"/>
      <c r="F28" s="7"/>
      <c r="G28" s="66">
        <v>14.0</v>
      </c>
      <c r="H28" s="74" t="s">
        <v>41</v>
      </c>
      <c r="I28" s="101">
        <v>140.0</v>
      </c>
      <c r="J28" s="93">
        <f>SUMIF(E$10:E$146,"14",D$10:D$146)</f>
        <v>0</v>
      </c>
      <c r="K28" s="94">
        <f t="shared" si="6"/>
        <v>140</v>
      </c>
      <c r="L28" s="71"/>
      <c r="M28" s="102">
        <v>53.0</v>
      </c>
      <c r="N28" s="79" t="s">
        <v>42</v>
      </c>
      <c r="O28" s="78">
        <v>0.0</v>
      </c>
      <c r="P28" s="76">
        <f>SUMIF(E$10:E$146,"53",D$10:D$146)</f>
        <v>0</v>
      </c>
      <c r="Q28" s="77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55">
        <v>45677.0</v>
      </c>
      <c r="C29" s="56"/>
      <c r="D29" s="56"/>
      <c r="E29" s="56"/>
      <c r="F29" s="7"/>
      <c r="G29" s="84"/>
      <c r="H29" s="85" t="s">
        <v>34</v>
      </c>
      <c r="I29" s="87">
        <f t="shared" ref="I29:J29" si="8">SUM(I25:I28)</f>
        <v>830</v>
      </c>
      <c r="J29" s="87">
        <f t="shared" si="8"/>
        <v>840</v>
      </c>
      <c r="K29" s="88">
        <f t="shared" si="6"/>
        <v>-10</v>
      </c>
      <c r="L29" s="103"/>
      <c r="M29" s="72">
        <v>54.0</v>
      </c>
      <c r="N29" s="74" t="s">
        <v>43</v>
      </c>
      <c r="O29" s="78">
        <v>0.0</v>
      </c>
      <c r="P29" s="76">
        <f>SUMIF(E$10:E$146,"54",D$10:D$146)</f>
        <v>0</v>
      </c>
      <c r="Q29" s="77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55">
        <v>45678.0</v>
      </c>
      <c r="C30" s="56"/>
      <c r="D30" s="56"/>
      <c r="E30" s="56"/>
      <c r="F30" s="7"/>
      <c r="G30" s="8"/>
      <c r="H30" s="89"/>
      <c r="I30" s="90"/>
      <c r="J30" s="90"/>
      <c r="K30" s="90"/>
      <c r="L30" s="104"/>
      <c r="M30" s="66">
        <v>55.0</v>
      </c>
      <c r="N30" s="79" t="s">
        <v>44</v>
      </c>
      <c r="O30" s="78">
        <v>140.0</v>
      </c>
      <c r="P30" s="76">
        <f>SUMIF(E$10:E$146,"55",D$10:D$146)</f>
        <v>0</v>
      </c>
      <c r="Q30" s="77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55">
        <v>45679.0</v>
      </c>
      <c r="C31" s="56"/>
      <c r="D31" s="56"/>
      <c r="E31" s="56"/>
      <c r="F31" s="7"/>
      <c r="G31" s="63"/>
      <c r="H31" s="95" t="s">
        <v>45</v>
      </c>
      <c r="I31" s="60" t="s">
        <v>1</v>
      </c>
      <c r="J31" s="60" t="s">
        <v>2</v>
      </c>
      <c r="K31" s="61" t="s">
        <v>3</v>
      </c>
      <c r="L31" s="71"/>
      <c r="M31" s="66">
        <v>56.0</v>
      </c>
      <c r="N31" s="74" t="s">
        <v>46</v>
      </c>
      <c r="O31" s="78">
        <v>0.0</v>
      </c>
      <c r="P31" s="76">
        <f>SUMIF(E$10:E$146,"56",D$10:D$146)</f>
        <v>0</v>
      </c>
      <c r="Q31" s="77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55">
        <v>45680.0</v>
      </c>
      <c r="C32" s="56"/>
      <c r="D32" s="56"/>
      <c r="E32" s="56"/>
      <c r="F32" s="7"/>
      <c r="G32" s="66">
        <v>15.0</v>
      </c>
      <c r="H32" s="79" t="s">
        <v>47</v>
      </c>
      <c r="I32" s="73">
        <v>45.0</v>
      </c>
      <c r="J32" s="68">
        <v>45.0</v>
      </c>
      <c r="K32" s="70">
        <f t="shared" ref="K32:K38" si="9">+I32-J32</f>
        <v>0</v>
      </c>
      <c r="L32" s="71"/>
      <c r="M32" s="66">
        <v>57.0</v>
      </c>
      <c r="N32" s="74" t="s">
        <v>48</v>
      </c>
      <c r="O32" s="78">
        <v>0.0</v>
      </c>
      <c r="P32" s="76">
        <f>SUMIF(E$10:E$146,"57",D$10:D$146)</f>
        <v>0</v>
      </c>
      <c r="Q32" s="77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55">
        <v>45681.0</v>
      </c>
      <c r="C33" s="56"/>
      <c r="D33" s="56"/>
      <c r="E33" s="56"/>
      <c r="F33" s="7"/>
      <c r="G33" s="66">
        <v>16.0</v>
      </c>
      <c r="H33" s="79" t="s">
        <v>49</v>
      </c>
      <c r="I33" s="78">
        <v>89.0</v>
      </c>
      <c r="J33" s="75">
        <v>89.0</v>
      </c>
      <c r="K33" s="77">
        <f t="shared" si="9"/>
        <v>0</v>
      </c>
      <c r="L33" s="71"/>
      <c r="M33" s="66">
        <v>58.0</v>
      </c>
      <c r="N33" s="79" t="s">
        <v>50</v>
      </c>
      <c r="O33" s="92">
        <v>0.0</v>
      </c>
      <c r="P33" s="93">
        <f>SUMIF(E$10:E$146,"58",D$10:D$146)</f>
        <v>0</v>
      </c>
      <c r="Q33" s="94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55">
        <v>45682.0</v>
      </c>
      <c r="C34" s="56"/>
      <c r="D34" s="56"/>
      <c r="E34" s="56"/>
      <c r="F34" s="7"/>
      <c r="G34" s="66">
        <v>17.0</v>
      </c>
      <c r="H34" s="79" t="s">
        <v>51</v>
      </c>
      <c r="I34" s="78">
        <v>24.0</v>
      </c>
      <c r="J34" s="75">
        <v>24.0</v>
      </c>
      <c r="K34" s="77">
        <f t="shared" si="9"/>
        <v>0</v>
      </c>
      <c r="L34" s="71"/>
      <c r="M34" s="84"/>
      <c r="N34" s="96" t="s">
        <v>34</v>
      </c>
      <c r="O34" s="87">
        <f t="shared" ref="O34:P34" si="10">SUM(O27:O33)</f>
        <v>140</v>
      </c>
      <c r="P34" s="87">
        <f t="shared" si="10"/>
        <v>0</v>
      </c>
      <c r="Q34" s="88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55">
        <v>45683.0</v>
      </c>
      <c r="C35" s="56"/>
      <c r="D35" s="56"/>
      <c r="E35" s="56"/>
      <c r="F35" s="7"/>
      <c r="G35" s="66">
        <v>18.0</v>
      </c>
      <c r="H35" s="105" t="s">
        <v>52</v>
      </c>
      <c r="I35" s="78">
        <v>21.9</v>
      </c>
      <c r="J35" s="75">
        <v>22.0</v>
      </c>
      <c r="K35" s="77">
        <f t="shared" si="9"/>
        <v>-0.1</v>
      </c>
      <c r="L35" s="106"/>
      <c r="M35" s="8"/>
      <c r="N35" s="98"/>
      <c r="O35" s="98"/>
      <c r="P35" s="98"/>
      <c r="Q35" s="98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55">
        <v>45684.0</v>
      </c>
      <c r="C36" s="56"/>
      <c r="D36" s="56"/>
      <c r="E36" s="56"/>
      <c r="F36" s="7"/>
      <c r="G36" s="66">
        <v>19.0</v>
      </c>
      <c r="H36" s="74" t="s">
        <v>53</v>
      </c>
      <c r="I36" s="78">
        <v>10.9</v>
      </c>
      <c r="J36" s="75">
        <v>11.0</v>
      </c>
      <c r="K36" s="77">
        <f t="shared" si="9"/>
        <v>-0.1</v>
      </c>
      <c r="L36" s="71"/>
      <c r="M36" s="63"/>
      <c r="N36" s="64" t="s">
        <v>54</v>
      </c>
      <c r="O36" s="65" t="s">
        <v>1</v>
      </c>
      <c r="P36" s="60" t="s">
        <v>2</v>
      </c>
      <c r="Q36" s="61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55">
        <v>45685.0</v>
      </c>
      <c r="C37" s="56"/>
      <c r="D37" s="56"/>
      <c r="E37" s="56"/>
      <c r="F37" s="7"/>
      <c r="G37" s="66">
        <v>20.0</v>
      </c>
      <c r="H37" s="74" t="s">
        <v>55</v>
      </c>
      <c r="I37" s="92">
        <v>34.5</v>
      </c>
      <c r="J37" s="107">
        <v>45.0</v>
      </c>
      <c r="K37" s="94">
        <f t="shared" si="9"/>
        <v>-10.5</v>
      </c>
      <c r="L37" s="71"/>
      <c r="M37" s="72">
        <v>60.0</v>
      </c>
      <c r="N37" s="108" t="s">
        <v>56</v>
      </c>
      <c r="O37" s="73">
        <v>450.0</v>
      </c>
      <c r="P37" s="69">
        <f>SUMIF(E$10:E$146,"60",D$10:D$146)</f>
        <v>0</v>
      </c>
      <c r="Q37" s="70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55">
        <v>45686.0</v>
      </c>
      <c r="C38" s="56"/>
      <c r="D38" s="56"/>
      <c r="E38" s="56"/>
      <c r="F38" s="7"/>
      <c r="G38" s="84"/>
      <c r="H38" s="85" t="s">
        <v>34</v>
      </c>
      <c r="I38" s="87">
        <f t="shared" ref="I38:J38" si="11">SUM(I32:I37)</f>
        <v>225.3</v>
      </c>
      <c r="J38" s="87">
        <f t="shared" si="11"/>
        <v>236</v>
      </c>
      <c r="K38" s="88">
        <f t="shared" si="9"/>
        <v>-10.7</v>
      </c>
      <c r="L38" s="71"/>
      <c r="M38" s="66">
        <v>61.0</v>
      </c>
      <c r="N38" s="79" t="s">
        <v>57</v>
      </c>
      <c r="O38" s="78">
        <v>0.0</v>
      </c>
      <c r="P38" s="76">
        <f>SUMIF(E$10:E$146,"61",D$10:D$146)</f>
        <v>0</v>
      </c>
      <c r="Q38" s="77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55">
        <v>45687.0</v>
      </c>
      <c r="C39" s="56"/>
      <c r="D39" s="56"/>
      <c r="E39" s="56"/>
      <c r="F39" s="7"/>
      <c r="G39" s="8"/>
      <c r="H39" s="98"/>
      <c r="I39" s="98"/>
      <c r="J39" s="98"/>
      <c r="K39" s="98"/>
      <c r="L39" s="91"/>
      <c r="M39" s="66">
        <v>62.0</v>
      </c>
      <c r="N39" s="74" t="s">
        <v>58</v>
      </c>
      <c r="O39" s="78">
        <v>120.0</v>
      </c>
      <c r="P39" s="76">
        <f>SUMIF(E$10:E$146,"62",D$10:D$146)</f>
        <v>0</v>
      </c>
      <c r="Q39" s="77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55">
        <v>45688.0</v>
      </c>
      <c r="C40" s="56"/>
      <c r="D40" s="56"/>
      <c r="E40" s="56"/>
      <c r="F40" s="7"/>
      <c r="G40" s="109"/>
      <c r="H40" s="110" t="s">
        <v>59</v>
      </c>
      <c r="I40" s="111" t="s">
        <v>1</v>
      </c>
      <c r="J40" s="111" t="s">
        <v>2</v>
      </c>
      <c r="K40" s="111" t="s">
        <v>3</v>
      </c>
      <c r="L40" s="91"/>
      <c r="M40" s="66">
        <v>63.0</v>
      </c>
      <c r="N40" s="74" t="s">
        <v>60</v>
      </c>
      <c r="O40" s="78">
        <v>148.0</v>
      </c>
      <c r="P40" s="76">
        <f>SUMIF(E$10:E$146,"63",D$10:D$146)</f>
        <v>0</v>
      </c>
      <c r="Q40" s="77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55"/>
      <c r="C41" s="56"/>
      <c r="D41" s="56"/>
      <c r="E41" s="56"/>
      <c r="F41" s="7"/>
      <c r="G41" s="112">
        <v>21.0</v>
      </c>
      <c r="H41" s="79" t="s">
        <v>61</v>
      </c>
      <c r="I41" s="73">
        <v>120.0</v>
      </c>
      <c r="J41" s="69">
        <f>SUMIF(E$10:E$146,"21",D$10:D$146)</f>
        <v>0</v>
      </c>
      <c r="K41" s="113">
        <f t="shared" ref="K41:K51" si="13">+I41-J41</f>
        <v>120</v>
      </c>
      <c r="L41" s="114"/>
      <c r="M41" s="66">
        <v>64.0</v>
      </c>
      <c r="N41" s="79" t="s">
        <v>62</v>
      </c>
      <c r="O41" s="92">
        <v>60.0</v>
      </c>
      <c r="P41" s="93">
        <f>SUMIF(E$10:E$146,"64",D$10:D$146)</f>
        <v>0</v>
      </c>
      <c r="Q41" s="94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15"/>
      <c r="C42" s="56"/>
      <c r="D42" s="56"/>
      <c r="E42" s="56"/>
      <c r="F42" s="7"/>
      <c r="G42" s="112">
        <v>22.0</v>
      </c>
      <c r="H42" s="74" t="s">
        <v>63</v>
      </c>
      <c r="I42" s="78">
        <v>120.0</v>
      </c>
      <c r="J42" s="76">
        <f>SUMIF(E$10:E$146,"22",D$10:D$146)</f>
        <v>0</v>
      </c>
      <c r="K42" s="116">
        <f t="shared" si="13"/>
        <v>120</v>
      </c>
      <c r="L42" s="98"/>
      <c r="M42" s="84"/>
      <c r="N42" s="85" t="s">
        <v>34</v>
      </c>
      <c r="O42" s="87">
        <f t="shared" ref="O42:P42" si="14">SUM(O37:O41)</f>
        <v>778</v>
      </c>
      <c r="P42" s="87">
        <f t="shared" si="14"/>
        <v>0</v>
      </c>
      <c r="Q42" s="88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15"/>
      <c r="C43" s="56"/>
      <c r="D43" s="56"/>
      <c r="E43" s="56"/>
      <c r="F43" s="7"/>
      <c r="G43" s="112">
        <v>23.0</v>
      </c>
      <c r="H43" s="74" t="s">
        <v>64</v>
      </c>
      <c r="I43" s="78">
        <v>100.0</v>
      </c>
      <c r="J43" s="76">
        <f>SUMIF(E$10:E$146,"23",D$10:D$146)</f>
        <v>0</v>
      </c>
      <c r="K43" s="116">
        <f t="shared" si="13"/>
        <v>100</v>
      </c>
      <c r="L43" s="98"/>
      <c r="M43" s="8"/>
      <c r="N43" s="98"/>
      <c r="O43" s="98"/>
      <c r="P43" s="98"/>
      <c r="Q43" s="98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7"/>
      <c r="G44" s="112">
        <v>24.0</v>
      </c>
      <c r="H44" s="79" t="s">
        <v>65</v>
      </c>
      <c r="I44" s="78">
        <v>100.0</v>
      </c>
      <c r="J44" s="76">
        <f>SUMIF(E$10:E$146,"24",D$10:D$146)</f>
        <v>0</v>
      </c>
      <c r="K44" s="116">
        <f t="shared" si="13"/>
        <v>100</v>
      </c>
      <c r="L44" s="98"/>
      <c r="M44" s="63"/>
      <c r="N44" s="117" t="s">
        <v>66</v>
      </c>
      <c r="O44" s="60" t="s">
        <v>1</v>
      </c>
      <c r="P44" s="60" t="s">
        <v>2</v>
      </c>
      <c r="Q44" s="61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7"/>
      <c r="G45" s="112">
        <v>25.0</v>
      </c>
      <c r="H45" s="79" t="s">
        <v>67</v>
      </c>
      <c r="I45" s="78">
        <v>150.0</v>
      </c>
      <c r="J45" s="76">
        <f>SUMIF(E$10:E$146,"25",D$10:D$146)</f>
        <v>0</v>
      </c>
      <c r="K45" s="116">
        <f t="shared" si="13"/>
        <v>150</v>
      </c>
      <c r="L45" s="98"/>
      <c r="M45" s="66">
        <v>70.0</v>
      </c>
      <c r="N45" s="74" t="s">
        <v>68</v>
      </c>
      <c r="O45" s="118">
        <v>0.0</v>
      </c>
      <c r="P45" s="119">
        <f>SUMIF(E$10:E$146,"70",D$10:D$146)</f>
        <v>0</v>
      </c>
      <c r="Q45" s="120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12">
        <v>26.0</v>
      </c>
      <c r="H46" s="79" t="s">
        <v>69</v>
      </c>
      <c r="I46" s="78">
        <v>0.0</v>
      </c>
      <c r="J46" s="76">
        <f>SUMIF(E$10:E$146,"26",D$10:D$146)</f>
        <v>0</v>
      </c>
      <c r="K46" s="116">
        <f t="shared" si="13"/>
        <v>0</v>
      </c>
      <c r="L46" s="98"/>
      <c r="M46" s="66">
        <v>71.0</v>
      </c>
      <c r="N46" s="74" t="s">
        <v>70</v>
      </c>
      <c r="O46" s="118">
        <v>0.0</v>
      </c>
      <c r="P46" s="119">
        <f>SUMIF(E$10:E$146,"71",D$10:D$146)</f>
        <v>0</v>
      </c>
      <c r="Q46" s="120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12">
        <v>27.0</v>
      </c>
      <c r="H47" s="79" t="s">
        <v>71</v>
      </c>
      <c r="I47" s="78">
        <v>89.0</v>
      </c>
      <c r="J47" s="76">
        <f>SUMIF(E$10:E$146,"27",D$10:D$146)</f>
        <v>0</v>
      </c>
      <c r="K47" s="116">
        <f t="shared" si="13"/>
        <v>89</v>
      </c>
      <c r="L47" s="98"/>
      <c r="M47" s="66">
        <v>72.0</v>
      </c>
      <c r="N47" s="74" t="s">
        <v>72</v>
      </c>
      <c r="O47" s="118">
        <v>0.0</v>
      </c>
      <c r="P47" s="119">
        <f>SUMIF(E$10:E$146,"72",D$10:D$146)</f>
        <v>0</v>
      </c>
      <c r="Q47" s="120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12">
        <v>28.0</v>
      </c>
      <c r="H48" s="79" t="s">
        <v>73</v>
      </c>
      <c r="I48" s="78">
        <v>0.0</v>
      </c>
      <c r="J48" s="76">
        <f>SUMIF(E$10:E$146,"28",D$10:D$146)</f>
        <v>0</v>
      </c>
      <c r="K48" s="116">
        <f t="shared" si="13"/>
        <v>0</v>
      </c>
      <c r="L48" s="98"/>
      <c r="M48" s="66">
        <v>73.0</v>
      </c>
      <c r="N48" s="74" t="s">
        <v>74</v>
      </c>
      <c r="O48" s="118">
        <v>0.0</v>
      </c>
      <c r="P48" s="119">
        <f>SUMIF(E$10:E$146,"73",D$10:D$146)</f>
        <v>0</v>
      </c>
      <c r="Q48" s="120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12">
        <v>29.0</v>
      </c>
      <c r="H49" s="79" t="s">
        <v>75</v>
      </c>
      <c r="I49" s="78">
        <v>0.0</v>
      </c>
      <c r="J49" s="76">
        <f>SUMIF(E$10:E$146,"29",D$10:D$146)</f>
        <v>0</v>
      </c>
      <c r="K49" s="116">
        <f t="shared" si="13"/>
        <v>0</v>
      </c>
      <c r="L49" s="98"/>
      <c r="M49" s="66">
        <v>74.0</v>
      </c>
      <c r="N49" s="74" t="s">
        <v>76</v>
      </c>
      <c r="O49" s="118">
        <v>0.0</v>
      </c>
      <c r="P49" s="119">
        <f>SUMIF(E$10:E$146,"74",D$10:D$146)</f>
        <v>0</v>
      </c>
      <c r="Q49" s="120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12">
        <v>30.0</v>
      </c>
      <c r="H50" s="79" t="s">
        <v>77</v>
      </c>
      <c r="I50" s="92">
        <v>0.0</v>
      </c>
      <c r="J50" s="93">
        <f>SUMIF(E$10:E$146,"30",D$10:D$146)</f>
        <v>0</v>
      </c>
      <c r="K50" s="121">
        <f t="shared" si="13"/>
        <v>0</v>
      </c>
      <c r="L50" s="98"/>
      <c r="M50" s="66">
        <v>75.0</v>
      </c>
      <c r="N50" s="79" t="s">
        <v>78</v>
      </c>
      <c r="O50" s="118">
        <v>0.0</v>
      </c>
      <c r="P50" s="119">
        <f>SUMIF(E$10:E$146,"75",D$10:D$146)</f>
        <v>0</v>
      </c>
      <c r="Q50" s="120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09"/>
      <c r="H51" s="122" t="s">
        <v>34</v>
      </c>
      <c r="I51" s="123">
        <f t="shared" ref="I51:J51" si="16">SUM(I41:I50)</f>
        <v>679</v>
      </c>
      <c r="J51" s="123">
        <f t="shared" si="16"/>
        <v>0</v>
      </c>
      <c r="K51" s="123">
        <f t="shared" si="13"/>
        <v>679</v>
      </c>
      <c r="L51" s="98"/>
      <c r="M51" s="66">
        <v>76.0</v>
      </c>
      <c r="N51" s="79" t="s">
        <v>79</v>
      </c>
      <c r="O51" s="118">
        <v>0.0</v>
      </c>
      <c r="P51" s="119">
        <f>SUMIF(E$10:E$146,"76",D$10:D$146)</f>
        <v>0</v>
      </c>
      <c r="Q51" s="120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8"/>
      <c r="H52" s="98"/>
      <c r="I52" s="98"/>
      <c r="J52" s="98"/>
      <c r="K52" s="98"/>
      <c r="L52" s="98"/>
      <c r="M52" s="84"/>
      <c r="N52" s="85" t="s">
        <v>34</v>
      </c>
      <c r="O52" s="87">
        <f t="shared" ref="O52:P52" si="17">SUM(O45:O51)</f>
        <v>0</v>
      </c>
      <c r="P52" s="87">
        <f t="shared" si="17"/>
        <v>0</v>
      </c>
      <c r="Q52" s="88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63"/>
      <c r="H53" s="95" t="s">
        <v>80</v>
      </c>
      <c r="I53" s="60" t="s">
        <v>1</v>
      </c>
      <c r="J53" s="60" t="s">
        <v>2</v>
      </c>
      <c r="K53" s="61" t="s">
        <v>3</v>
      </c>
      <c r="L53" s="98"/>
      <c r="M53" s="8"/>
      <c r="N53" s="98"/>
      <c r="O53" s="98"/>
      <c r="P53" s="98"/>
      <c r="Q53" s="98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66">
        <v>31.0</v>
      </c>
      <c r="H54" s="79" t="s">
        <v>81</v>
      </c>
      <c r="I54" s="124">
        <v>39.0</v>
      </c>
      <c r="J54" s="125">
        <f>SUMIF(E$10:E$146,"31",D$10:D$146)</f>
        <v>0</v>
      </c>
      <c r="K54" s="126">
        <f t="shared" ref="K54:K57" si="18">+I54-J54</f>
        <v>39</v>
      </c>
      <c r="L54" s="98"/>
      <c r="M54" s="63"/>
      <c r="N54" s="117" t="s">
        <v>82</v>
      </c>
      <c r="O54" s="60" t="s">
        <v>1</v>
      </c>
      <c r="P54" s="60" t="s">
        <v>2</v>
      </c>
      <c r="Q54" s="61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66">
        <v>32.0</v>
      </c>
      <c r="H55" s="74" t="s">
        <v>83</v>
      </c>
      <c r="I55" s="78">
        <v>0.0</v>
      </c>
      <c r="J55" s="76">
        <f>SUMIF(E$10:E$146,"32",D$10:D$146)</f>
        <v>0</v>
      </c>
      <c r="K55" s="77">
        <f t="shared" si="18"/>
        <v>0</v>
      </c>
      <c r="L55" s="98"/>
      <c r="M55" s="66">
        <v>80.0</v>
      </c>
      <c r="N55" s="74" t="s">
        <v>84</v>
      </c>
      <c r="O55" s="73">
        <v>5200.0</v>
      </c>
      <c r="P55" s="69">
        <f>SUMIF(E$10:E$146,"80",D$10:D$146)</f>
        <v>0</v>
      </c>
      <c r="Q55" s="70">
        <f t="shared" ref="Q55:Q59" si="19">+O55-P55</f>
        <v>5200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66">
        <v>33.0</v>
      </c>
      <c r="H56" s="79" t="s">
        <v>85</v>
      </c>
      <c r="I56" s="92">
        <v>0.0</v>
      </c>
      <c r="J56" s="93">
        <f>SUMIF(E$10:E$146,"33",D$10:D$146)</f>
        <v>0</v>
      </c>
      <c r="K56" s="94">
        <f t="shared" si="18"/>
        <v>0</v>
      </c>
      <c r="L56" s="98"/>
      <c r="M56" s="66">
        <v>81.0</v>
      </c>
      <c r="N56" s="74" t="s">
        <v>86</v>
      </c>
      <c r="O56" s="78">
        <v>1740.0</v>
      </c>
      <c r="P56" s="76">
        <f>SUMIF(E$10:E$146,"81",D$10:D$146)</f>
        <v>0</v>
      </c>
      <c r="Q56" s="77">
        <f t="shared" si="19"/>
        <v>1740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84"/>
      <c r="H57" s="85" t="s">
        <v>34</v>
      </c>
      <c r="I57" s="87">
        <f t="shared" ref="I57:J57" si="20">SUM(I54:I56)</f>
        <v>39</v>
      </c>
      <c r="J57" s="87">
        <f t="shared" si="20"/>
        <v>0</v>
      </c>
      <c r="K57" s="88">
        <f t="shared" si="18"/>
        <v>39</v>
      </c>
      <c r="L57" s="98"/>
      <c r="M57" s="66">
        <v>82.0</v>
      </c>
      <c r="N57" s="74" t="s">
        <v>87</v>
      </c>
      <c r="O57" s="78">
        <v>380.0</v>
      </c>
      <c r="P57" s="76">
        <f>SUMIF(E$10:E$146,"82",D$10:D$146)</f>
        <v>0</v>
      </c>
      <c r="Q57" s="77">
        <f t="shared" si="19"/>
        <v>380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8"/>
      <c r="H58" s="98"/>
      <c r="I58" s="98"/>
      <c r="J58" s="98"/>
      <c r="K58" s="98"/>
      <c r="L58" s="98"/>
      <c r="M58" s="66">
        <v>83.0</v>
      </c>
      <c r="N58" s="74" t="s">
        <v>88</v>
      </c>
      <c r="O58" s="92">
        <v>478.0</v>
      </c>
      <c r="P58" s="93">
        <f>SUMIF(E$10:E$146,"83",D$10:D$146)</f>
        <v>0</v>
      </c>
      <c r="Q58" s="94">
        <f t="shared" si="19"/>
        <v>478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63"/>
      <c r="H59" s="117" t="s">
        <v>89</v>
      </c>
      <c r="I59" s="60" t="s">
        <v>1</v>
      </c>
      <c r="J59" s="127" t="s">
        <v>90</v>
      </c>
      <c r="K59" s="128" t="s">
        <v>91</v>
      </c>
      <c r="L59" s="98"/>
      <c r="M59" s="84"/>
      <c r="N59" s="85" t="s">
        <v>34</v>
      </c>
      <c r="O59" s="87">
        <f t="shared" ref="O59:P59" si="21">SUM(O55:O58)</f>
        <v>7798</v>
      </c>
      <c r="P59" s="87">
        <f t="shared" si="21"/>
        <v>0</v>
      </c>
      <c r="Q59" s="88">
        <f t="shared" si="19"/>
        <v>7798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29">
        <v>34.0</v>
      </c>
      <c r="H60" s="74" t="s">
        <v>92</v>
      </c>
      <c r="I60" s="73">
        <v>1200.0</v>
      </c>
      <c r="J60" s="68">
        <v>150.0</v>
      </c>
      <c r="K60" s="70">
        <f t="shared" ref="K60:K61" si="22">+I60-O621</f>
        <v>1200</v>
      </c>
      <c r="L60" s="98"/>
      <c r="M60" s="8"/>
      <c r="N60" s="98"/>
      <c r="O60" s="98"/>
      <c r="P60" s="98"/>
      <c r="Q60" s="98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29">
        <v>35.0</v>
      </c>
      <c r="H61" s="74" t="s">
        <v>93</v>
      </c>
      <c r="I61" s="73">
        <v>1200.0</v>
      </c>
      <c r="J61" s="69">
        <f>SUMIF(E$10:E$146,"34",D$10:D$146)</f>
        <v>0</v>
      </c>
      <c r="K61" s="70">
        <f t="shared" si="22"/>
        <v>1200</v>
      </c>
      <c r="L61" s="98"/>
      <c r="M61" s="8"/>
      <c r="N61" s="98"/>
      <c r="O61" s="98"/>
      <c r="P61" s="98"/>
      <c r="Q61" s="98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29">
        <v>36.0</v>
      </c>
      <c r="H62" s="74" t="s">
        <v>94</v>
      </c>
      <c r="I62" s="78">
        <v>1200.0</v>
      </c>
      <c r="J62" s="76">
        <f>SUMIF(E$10:E$146,"35",D$10:D$146)</f>
        <v>0</v>
      </c>
      <c r="K62" s="77">
        <f t="shared" ref="K62:K63" si="23">+I62-J62</f>
        <v>1200</v>
      </c>
      <c r="L62" s="98"/>
      <c r="M62" s="63"/>
      <c r="N62" s="117" t="s">
        <v>95</v>
      </c>
      <c r="O62" s="60" t="s">
        <v>1</v>
      </c>
      <c r="P62" s="60" t="s">
        <v>2</v>
      </c>
      <c r="Q62" s="61" t="s">
        <v>3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29">
        <v>37.0</v>
      </c>
      <c r="H63" s="74" t="s">
        <v>96</v>
      </c>
      <c r="I63" s="78">
        <v>1200.0</v>
      </c>
      <c r="J63" s="76">
        <f>SUMIF(E$10:E$146,"36",D$10:D$146)</f>
        <v>0</v>
      </c>
      <c r="K63" s="77">
        <f t="shared" si="23"/>
        <v>1200</v>
      </c>
      <c r="L63" s="98"/>
      <c r="M63" s="66">
        <v>90.0</v>
      </c>
      <c r="N63" s="130" t="s">
        <v>97</v>
      </c>
      <c r="O63" s="131">
        <v>0.0</v>
      </c>
      <c r="P63" s="125">
        <f>SUMIF(E$10:E$146,"90",D$10:D$146)</f>
        <v>0</v>
      </c>
      <c r="Q63" s="126">
        <f>+O63-P63</f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7"/>
      <c r="G64" s="129">
        <v>38.0</v>
      </c>
      <c r="H64" s="74" t="s">
        <v>98</v>
      </c>
      <c r="I64" s="132">
        <v>580.0</v>
      </c>
      <c r="J64" s="133">
        <v>140.0</v>
      </c>
      <c r="K64" s="134"/>
      <c r="L64" s="98"/>
      <c r="M64" s="66"/>
      <c r="N64" s="135" t="s">
        <v>99</v>
      </c>
      <c r="O64" s="68"/>
      <c r="P64" s="69"/>
      <c r="Q64" s="70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7"/>
      <c r="G65" s="129">
        <v>39.0</v>
      </c>
      <c r="H65" s="74" t="s">
        <v>100</v>
      </c>
      <c r="I65" s="92">
        <v>1200.0</v>
      </c>
      <c r="J65" s="93">
        <f>SUMIF(E$10:E$146,"37",D$10:D$146)</f>
        <v>0</v>
      </c>
      <c r="K65" s="94">
        <f t="shared" ref="K65:K66" si="24">+I65-J65</f>
        <v>1200</v>
      </c>
      <c r="L65" s="98"/>
      <c r="M65" s="66">
        <v>91.0</v>
      </c>
      <c r="N65" s="136" t="s">
        <v>101</v>
      </c>
      <c r="O65" s="75">
        <v>0.0</v>
      </c>
      <c r="P65" s="76">
        <f>SUMIF(E$10:E$146,"91",D$10:D$146)</f>
        <v>0</v>
      </c>
      <c r="Q65" s="77">
        <f t="shared" ref="Q65:Q67" si="25">+O65-P65</f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7"/>
      <c r="G66" s="84"/>
      <c r="H66" s="85" t="s">
        <v>34</v>
      </c>
      <c r="I66" s="87">
        <f>SUM(I61:I65)</f>
        <v>5380</v>
      </c>
      <c r="J66" s="87">
        <f>SUM(J60:J65)</f>
        <v>290</v>
      </c>
      <c r="K66" s="88">
        <f t="shared" si="24"/>
        <v>5090</v>
      </c>
      <c r="L66" s="98"/>
      <c r="M66" s="66">
        <v>92.0</v>
      </c>
      <c r="N66" s="137" t="s">
        <v>102</v>
      </c>
      <c r="O66" s="107">
        <v>0.0</v>
      </c>
      <c r="P66" s="93">
        <f>SUMIF(E$10:E$146,"92",D$10:D$146)</f>
        <v>0</v>
      </c>
      <c r="Q66" s="94">
        <f t="shared" si="25"/>
        <v>0</v>
      </c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7"/>
      <c r="G67" s="98"/>
      <c r="H67" s="98"/>
      <c r="I67" s="98"/>
      <c r="J67" s="98"/>
      <c r="K67" s="98"/>
      <c r="L67" s="98"/>
      <c r="M67" s="84"/>
      <c r="N67" s="85" t="s">
        <v>34</v>
      </c>
      <c r="O67" s="87">
        <f t="shared" ref="O67:P67" si="26">SUM(O63:O66)</f>
        <v>0</v>
      </c>
      <c r="P67" s="87">
        <f t="shared" si="26"/>
        <v>0</v>
      </c>
      <c r="Q67" s="88">
        <f t="shared" si="25"/>
        <v>0</v>
      </c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15"/>
      <c r="C98" s="56"/>
      <c r="D98" s="56"/>
      <c r="E98" s="5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15"/>
      <c r="C99" s="56"/>
      <c r="D99" s="56"/>
      <c r="E99" s="5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109"/>
      <c r="C129" s="109"/>
      <c r="D129" s="109"/>
      <c r="E129" s="109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109"/>
      <c r="C130" s="109"/>
      <c r="D130" s="109"/>
      <c r="E130" s="109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0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0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8.0" customHeight="1">
      <c r="A1001" s="6"/>
      <c r="B1001" s="6"/>
      <c r="C1001" s="6"/>
      <c r="D1001" s="6"/>
      <c r="E1001" s="6"/>
      <c r="F1001" s="6"/>
      <c r="G1001" s="138"/>
      <c r="H1001" s="6"/>
      <c r="I1001" s="6"/>
      <c r="J1001" s="6"/>
      <c r="K1001" s="6"/>
      <c r="L1001" s="6"/>
      <c r="M1001" s="138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8.0" customHeight="1">
      <c r="A1002" s="6"/>
      <c r="B1002" s="6"/>
      <c r="C1002" s="6"/>
      <c r="D1002" s="6"/>
      <c r="E1002" s="6"/>
      <c r="F1002" s="6"/>
      <c r="G1002" s="138"/>
      <c r="H1002" s="6"/>
      <c r="I1002" s="6"/>
      <c r="J1002" s="6"/>
      <c r="K1002" s="6"/>
      <c r="L1002" s="6"/>
      <c r="M1002" s="138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98:E99">
    <cfRule type="cellIs" dxfId="0" priority="1" operator="notBetween">
      <formula>0</formula>
      <formula>100</formula>
    </cfRule>
  </conditionalFormatting>
  <conditionalFormatting sqref="E10:E97">
    <cfRule type="cellIs" dxfId="0" priority="2" operator="notBetween">
      <formula>0</formula>
      <formula>100</formula>
    </cfRule>
  </conditionalFormatting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2" t="s">
        <v>103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f>2398+K66</f>
        <v>2398</v>
      </c>
      <c r="J4" s="14">
        <v>1940.0</v>
      </c>
      <c r="K4" s="13">
        <f>1940+J66</f>
        <v>1940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f>2500+Q67</f>
        <v>2500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+SUM(I22,O24,I29,O34,I38,O42,I51,O52,I57,O59,I66,O67,)</f>
        <v>7213.3</v>
      </c>
      <c r="J7" s="38"/>
      <c r="K7" s="37">
        <f>+SUM(J22,J29,J38,J51,J57,J66,P67,P59,P52,P42,P34,P24,)</f>
        <v>3361</v>
      </c>
      <c r="L7" s="39"/>
      <c r="M7" s="38"/>
      <c r="N7" s="40">
        <f t="shared" si="1"/>
        <v>3852.3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-2315.3</v>
      </c>
      <c r="J8" s="47"/>
      <c r="K8" s="46">
        <f>+K6-K7</f>
        <v>1079</v>
      </c>
      <c r="L8" s="48"/>
      <c r="M8" s="47"/>
      <c r="N8" s="49">
        <f>I8-K8</f>
        <v>-3394.3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SUM(D10:D112)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39">
        <v>45689.0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45690.0</v>
      </c>
      <c r="C11" s="56"/>
      <c r="D11" s="56"/>
      <c r="E11" s="56"/>
      <c r="F11" s="7"/>
      <c r="G11" s="140"/>
      <c r="H11" s="141" t="s">
        <v>14</v>
      </c>
      <c r="I11" s="111" t="s">
        <v>1</v>
      </c>
      <c r="J11" s="111" t="s">
        <v>2</v>
      </c>
      <c r="K11" s="111" t="s">
        <v>3</v>
      </c>
      <c r="L11" s="142"/>
      <c r="M11" s="109"/>
      <c r="N11" s="143" t="s">
        <v>15</v>
      </c>
      <c r="O11" s="144" t="s">
        <v>1</v>
      </c>
      <c r="P11" s="111" t="s">
        <v>2</v>
      </c>
      <c r="Q11" s="111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45691.0</v>
      </c>
      <c r="C12" s="56"/>
      <c r="D12" s="56"/>
      <c r="E12" s="56"/>
      <c r="F12" s="7"/>
      <c r="G12" s="112">
        <v>1.0</v>
      </c>
      <c r="H12" s="67" t="s">
        <v>16</v>
      </c>
      <c r="I12" s="145">
        <v>150.0</v>
      </c>
      <c r="J12" s="146">
        <f>SUMIF(E$10:E$144,"1",D$10:D$144)</f>
        <v>0</v>
      </c>
      <c r="K12" s="146">
        <f t="shared" ref="K12:K22" si="2">+I12-J12</f>
        <v>150</v>
      </c>
      <c r="L12" s="106"/>
      <c r="M12" s="147">
        <v>40.0</v>
      </c>
      <c r="N12" s="67" t="s">
        <v>17</v>
      </c>
      <c r="O12" s="145">
        <v>58.0</v>
      </c>
      <c r="P12" s="145">
        <v>45.0</v>
      </c>
      <c r="Q12" s="146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45692.0</v>
      </c>
      <c r="C13" s="56"/>
      <c r="D13" s="56"/>
      <c r="E13" s="56"/>
      <c r="F13" s="7"/>
      <c r="G13" s="112">
        <v>2.0</v>
      </c>
      <c r="H13" s="74" t="s">
        <v>18</v>
      </c>
      <c r="I13" s="145">
        <v>1200.0</v>
      </c>
      <c r="J13" s="119">
        <f>SUMIF(E$10:E$144,"2",D$10:D$144)</f>
        <v>0</v>
      </c>
      <c r="K13" s="119">
        <f t="shared" si="2"/>
        <v>1200</v>
      </c>
      <c r="L13" s="106"/>
      <c r="M13" s="112">
        <v>41.0</v>
      </c>
      <c r="N13" s="74" t="s">
        <v>19</v>
      </c>
      <c r="O13" s="118">
        <v>68.0</v>
      </c>
      <c r="P13" s="119">
        <f>SUMIF(E$10:E$144,"41",D$10:D$144)</f>
        <v>0</v>
      </c>
      <c r="Q13" s="119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45693.0</v>
      </c>
      <c r="C14" s="56"/>
      <c r="D14" s="56"/>
      <c r="E14" s="56"/>
      <c r="F14" s="7"/>
      <c r="G14" s="112">
        <v>3.0</v>
      </c>
      <c r="H14" s="74" t="s">
        <v>20</v>
      </c>
      <c r="I14" s="145">
        <v>250.0</v>
      </c>
      <c r="J14" s="119">
        <f>SUMIF(E$10:E$144,"3",D$10:D$144)</f>
        <v>0</v>
      </c>
      <c r="K14" s="119">
        <f t="shared" si="2"/>
        <v>250</v>
      </c>
      <c r="L14" s="106"/>
      <c r="M14" s="112">
        <v>42.0</v>
      </c>
      <c r="N14" s="79" t="s">
        <v>21</v>
      </c>
      <c r="O14" s="118">
        <v>440.0</v>
      </c>
      <c r="P14" s="118">
        <v>0.0</v>
      </c>
      <c r="Q14" s="119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45694.0</v>
      </c>
      <c r="C15" s="56"/>
      <c r="D15" s="56"/>
      <c r="E15" s="56"/>
      <c r="F15" s="7"/>
      <c r="G15" s="112">
        <v>4.0</v>
      </c>
      <c r="H15" s="74" t="s">
        <v>22</v>
      </c>
      <c r="I15" s="118">
        <v>1200.0</v>
      </c>
      <c r="J15" s="118">
        <v>1400.0</v>
      </c>
      <c r="K15" s="119">
        <f t="shared" si="2"/>
        <v>-200</v>
      </c>
      <c r="L15" s="106"/>
      <c r="M15" s="112">
        <v>43.0</v>
      </c>
      <c r="N15" s="74" t="s">
        <v>23</v>
      </c>
      <c r="O15" s="118">
        <v>240.0</v>
      </c>
      <c r="P15" s="118">
        <v>143.0</v>
      </c>
      <c r="Q15" s="119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45695.0</v>
      </c>
      <c r="C16" s="56"/>
      <c r="D16" s="56"/>
      <c r="E16" s="56"/>
      <c r="F16" s="7"/>
      <c r="G16" s="112">
        <v>5.0</v>
      </c>
      <c r="H16" s="74" t="s">
        <v>24</v>
      </c>
      <c r="I16" s="118">
        <v>120.0</v>
      </c>
      <c r="J16" s="119">
        <f>SUMIF(E$10:E$144,"5",D$10:D$144)</f>
        <v>0</v>
      </c>
      <c r="K16" s="119">
        <f t="shared" si="2"/>
        <v>120</v>
      </c>
      <c r="L16" s="106"/>
      <c r="M16" s="112">
        <v>44.0</v>
      </c>
      <c r="N16" s="74" t="s">
        <v>25</v>
      </c>
      <c r="O16" s="118">
        <v>110.0</v>
      </c>
      <c r="P16" s="118">
        <v>240.0</v>
      </c>
      <c r="Q16" s="119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45696.0</v>
      </c>
      <c r="C17" s="56"/>
      <c r="D17" s="56"/>
      <c r="E17" s="56"/>
      <c r="F17" s="7"/>
      <c r="G17" s="112">
        <v>6.0</v>
      </c>
      <c r="H17" s="79" t="s">
        <v>26</v>
      </c>
      <c r="I17" s="118">
        <v>150.0</v>
      </c>
      <c r="J17" s="118">
        <v>150.0</v>
      </c>
      <c r="K17" s="119">
        <f t="shared" si="2"/>
        <v>0</v>
      </c>
      <c r="L17" s="106"/>
      <c r="M17" s="112">
        <v>45.0</v>
      </c>
      <c r="N17" s="74" t="s">
        <v>27</v>
      </c>
      <c r="O17" s="118">
        <v>0.0</v>
      </c>
      <c r="P17" s="119">
        <f>SUMIF(E$10:E$144,"45",D$10:D$144)</f>
        <v>0</v>
      </c>
      <c r="Q17" s="119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45697.0</v>
      </c>
      <c r="C18" s="56"/>
      <c r="D18" s="56"/>
      <c r="E18" s="56"/>
      <c r="F18" s="7"/>
      <c r="G18" s="112">
        <v>7.0</v>
      </c>
      <c r="H18" s="79" t="s">
        <v>28</v>
      </c>
      <c r="I18" s="118">
        <v>77.0</v>
      </c>
      <c r="J18" s="118">
        <v>77.0</v>
      </c>
      <c r="K18" s="119">
        <f t="shared" si="2"/>
        <v>0</v>
      </c>
      <c r="L18" s="106"/>
      <c r="M18" s="112">
        <v>46.0</v>
      </c>
      <c r="N18" s="74" t="s">
        <v>29</v>
      </c>
      <c r="O18" s="118">
        <v>0.0</v>
      </c>
      <c r="P18" s="119">
        <f>SUMIF(E$10:E$144,"46",D$10:D$144)</f>
        <v>0</v>
      </c>
      <c r="Q18" s="119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45698.0</v>
      </c>
      <c r="C19" s="56"/>
      <c r="D19" s="56"/>
      <c r="E19" s="56"/>
      <c r="F19" s="7"/>
      <c r="G19" s="112">
        <v>8.0</v>
      </c>
      <c r="H19" s="79" t="s">
        <v>30</v>
      </c>
      <c r="I19" s="118">
        <v>55.0</v>
      </c>
      <c r="J19" s="118">
        <v>55.0</v>
      </c>
      <c r="K19" s="119">
        <f t="shared" si="2"/>
        <v>0</v>
      </c>
      <c r="L19" s="106"/>
      <c r="M19" s="112">
        <v>47.0</v>
      </c>
      <c r="O19" s="118">
        <v>0.0</v>
      </c>
      <c r="P19" s="119">
        <f>SUMIF(E$10:E$144,"47",D$10:D$144)</f>
        <v>0</v>
      </c>
      <c r="Q19" s="119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45699.0</v>
      </c>
      <c r="C20" s="56"/>
      <c r="D20" s="56"/>
      <c r="E20" s="56"/>
      <c r="F20" s="7"/>
      <c r="G20" s="112">
        <v>9.0</v>
      </c>
      <c r="H20" s="74" t="s">
        <v>32</v>
      </c>
      <c r="I20" s="118">
        <v>175.0</v>
      </c>
      <c r="J20" s="118">
        <v>175.0</v>
      </c>
      <c r="K20" s="119">
        <f t="shared" si="2"/>
        <v>0</v>
      </c>
      <c r="L20" s="106"/>
      <c r="M20" s="112">
        <v>48.0</v>
      </c>
      <c r="O20" s="118">
        <v>0.0</v>
      </c>
      <c r="P20" s="119">
        <f>SUMIF(E$10:E$144,"48",D$10:D$144)</f>
        <v>0</v>
      </c>
      <c r="Q20" s="119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45700.0</v>
      </c>
      <c r="C21" s="56"/>
      <c r="D21" s="56"/>
      <c r="E21" s="56"/>
      <c r="F21" s="7"/>
      <c r="G21" s="148">
        <v>10.0</v>
      </c>
      <c r="H21" s="81" t="s">
        <v>33</v>
      </c>
      <c r="I21" s="149"/>
      <c r="J21" s="149">
        <f>SUMIF(E$10:E$144,"10",D$10:D$144)</f>
        <v>0</v>
      </c>
      <c r="K21" s="149">
        <f t="shared" si="2"/>
        <v>0</v>
      </c>
      <c r="L21" s="106"/>
      <c r="M21" s="112">
        <v>49.0</v>
      </c>
      <c r="O21" s="118">
        <v>0.0</v>
      </c>
      <c r="P21" s="118">
        <v>0.0</v>
      </c>
      <c r="Q21" s="119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45701.0</v>
      </c>
      <c r="C22" s="56"/>
      <c r="D22" s="56"/>
      <c r="E22" s="56"/>
      <c r="F22" s="7"/>
      <c r="G22" s="109"/>
      <c r="H22" s="122" t="s">
        <v>34</v>
      </c>
      <c r="I22" s="123">
        <f t="shared" ref="I22:J22" si="4">SUM(I12:I21)</f>
        <v>3377</v>
      </c>
      <c r="J22" s="123">
        <f t="shared" si="4"/>
        <v>1857</v>
      </c>
      <c r="K22" s="123">
        <f t="shared" si="2"/>
        <v>1520</v>
      </c>
      <c r="L22" s="150"/>
      <c r="M22" s="112">
        <v>50.0</v>
      </c>
      <c r="O22" s="118">
        <v>0.0</v>
      </c>
      <c r="P22" s="118">
        <v>0.0</v>
      </c>
      <c r="Q22" s="119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45702.0</v>
      </c>
      <c r="C23" s="56"/>
      <c r="D23" s="56"/>
      <c r="E23" s="56"/>
      <c r="F23" s="7"/>
      <c r="G23" s="8"/>
      <c r="H23" s="151"/>
      <c r="I23" s="142"/>
      <c r="J23" s="142"/>
      <c r="K23" s="142"/>
      <c r="L23" s="150"/>
      <c r="M23" s="112">
        <v>51.0</v>
      </c>
      <c r="N23" s="79" t="s">
        <v>104</v>
      </c>
      <c r="O23" s="118">
        <v>0.0</v>
      </c>
      <c r="P23" s="119">
        <f>SUMIF(E$10:E$144,"51",D$10:D$144)</f>
        <v>0</v>
      </c>
      <c r="Q23" s="119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45703.0</v>
      </c>
      <c r="C24" s="56"/>
      <c r="D24" s="56"/>
      <c r="E24" s="56"/>
      <c r="F24" s="7"/>
      <c r="G24" s="109"/>
      <c r="H24" s="110" t="s">
        <v>35</v>
      </c>
      <c r="I24" s="111" t="s">
        <v>1</v>
      </c>
      <c r="J24" s="111" t="s">
        <v>2</v>
      </c>
      <c r="K24" s="111" t="s">
        <v>3</v>
      </c>
      <c r="L24" s="150"/>
      <c r="M24" s="109"/>
      <c r="N24" s="152" t="s">
        <v>34</v>
      </c>
      <c r="O24" s="123">
        <f t="shared" ref="O24:P24" si="5">SUM(O12:O23)</f>
        <v>916</v>
      </c>
      <c r="P24" s="123">
        <f t="shared" si="5"/>
        <v>428</v>
      </c>
      <c r="Q24" s="123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45704.0</v>
      </c>
      <c r="C25" s="56"/>
      <c r="D25" s="56"/>
      <c r="E25" s="56"/>
      <c r="F25" s="7"/>
      <c r="G25" s="112">
        <v>11.0</v>
      </c>
      <c r="H25" s="79" t="s">
        <v>36</v>
      </c>
      <c r="I25" s="145">
        <v>450.0</v>
      </c>
      <c r="J25" s="145">
        <v>450.0</v>
      </c>
      <c r="K25" s="146">
        <f t="shared" ref="K25:K29" si="6">+I25-J25</f>
        <v>0</v>
      </c>
      <c r="L25" s="91"/>
      <c r="M25" s="153"/>
      <c r="N25" s="98"/>
      <c r="O25" s="98"/>
      <c r="P25" s="98"/>
      <c r="Q25" s="98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45705.0</v>
      </c>
      <c r="C26" s="56"/>
      <c r="D26" s="56"/>
      <c r="E26" s="56"/>
      <c r="F26" s="7"/>
      <c r="G26" s="112">
        <v>12.0</v>
      </c>
      <c r="H26" s="79" t="s">
        <v>37</v>
      </c>
      <c r="I26" s="118">
        <v>140.0</v>
      </c>
      <c r="J26" s="118">
        <v>140.0</v>
      </c>
      <c r="K26" s="119">
        <f t="shared" si="6"/>
        <v>0</v>
      </c>
      <c r="L26" s="91"/>
      <c r="M26" s="109"/>
      <c r="N26" s="154" t="s">
        <v>38</v>
      </c>
      <c r="O26" s="111" t="s">
        <v>1</v>
      </c>
      <c r="P26" s="111" t="s">
        <v>2</v>
      </c>
      <c r="Q26" s="111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45706.0</v>
      </c>
      <c r="C27" s="56"/>
      <c r="D27" s="56"/>
      <c r="E27" s="56"/>
      <c r="F27" s="7"/>
      <c r="G27" s="112">
        <v>13.0</v>
      </c>
      <c r="H27" s="74" t="s">
        <v>39</v>
      </c>
      <c r="I27" s="118">
        <v>100.0</v>
      </c>
      <c r="J27" s="118">
        <v>250.0</v>
      </c>
      <c r="K27" s="119">
        <f t="shared" si="6"/>
        <v>-150</v>
      </c>
      <c r="L27" s="91"/>
      <c r="M27" s="155">
        <v>52.0</v>
      </c>
      <c r="N27" s="79" t="s">
        <v>40</v>
      </c>
      <c r="O27" s="145">
        <v>0.0</v>
      </c>
      <c r="P27" s="146">
        <f>SUMIF(E$10:E$144,"52",D$10:D$144)</f>
        <v>0</v>
      </c>
      <c r="Q27" s="146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45707.0</v>
      </c>
      <c r="C28" s="56"/>
      <c r="D28" s="56"/>
      <c r="E28" s="56"/>
      <c r="F28" s="7"/>
      <c r="G28" s="112">
        <v>14.0</v>
      </c>
      <c r="H28" s="74" t="s">
        <v>41</v>
      </c>
      <c r="I28" s="74">
        <v>140.0</v>
      </c>
      <c r="J28" s="119">
        <f>SUMIF(E$10:E$144,"14",D$10:D$144)</f>
        <v>0</v>
      </c>
      <c r="K28" s="119">
        <f t="shared" si="6"/>
        <v>140</v>
      </c>
      <c r="L28" s="91"/>
      <c r="M28" s="156">
        <v>53.0</v>
      </c>
      <c r="N28" s="79" t="s">
        <v>42</v>
      </c>
      <c r="O28" s="118">
        <v>0.0</v>
      </c>
      <c r="P28" s="119">
        <f>SUMIF(E$10:E$144,"53",D$10:D$144)</f>
        <v>0</v>
      </c>
      <c r="Q28" s="119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45708.0</v>
      </c>
      <c r="C29" s="56"/>
      <c r="D29" s="56"/>
      <c r="E29" s="56"/>
      <c r="F29" s="7"/>
      <c r="G29" s="109"/>
      <c r="H29" s="122" t="s">
        <v>34</v>
      </c>
      <c r="I29" s="123">
        <f t="shared" ref="I29:J29" si="8">SUM(I25:I28)</f>
        <v>830</v>
      </c>
      <c r="J29" s="123">
        <f t="shared" si="8"/>
        <v>840</v>
      </c>
      <c r="K29" s="123">
        <f t="shared" si="6"/>
        <v>-10</v>
      </c>
      <c r="L29" s="157"/>
      <c r="M29" s="147">
        <v>54.0</v>
      </c>
      <c r="N29" s="74" t="s">
        <v>43</v>
      </c>
      <c r="O29" s="118">
        <v>0.0</v>
      </c>
      <c r="P29" s="119">
        <f>SUMIF(E$10:E$144,"54",D$10:D$144)</f>
        <v>0</v>
      </c>
      <c r="Q29" s="119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45709.0</v>
      </c>
      <c r="C30" s="56"/>
      <c r="D30" s="56"/>
      <c r="E30" s="56"/>
      <c r="F30" s="7"/>
      <c r="G30" s="8"/>
      <c r="H30" s="106"/>
      <c r="I30" s="150"/>
      <c r="J30" s="150"/>
      <c r="K30" s="150"/>
      <c r="L30" s="142"/>
      <c r="M30" s="112">
        <v>55.0</v>
      </c>
      <c r="N30" s="79" t="s">
        <v>44</v>
      </c>
      <c r="O30" s="118">
        <v>140.0</v>
      </c>
      <c r="P30" s="119">
        <f>SUMIF(E$10:E$144,"55",D$10:D$144)</f>
        <v>0</v>
      </c>
      <c r="Q30" s="119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45710.0</v>
      </c>
      <c r="C31" s="56"/>
      <c r="D31" s="56"/>
      <c r="E31" s="56"/>
      <c r="F31" s="7"/>
      <c r="G31" s="109"/>
      <c r="H31" s="110" t="s">
        <v>45</v>
      </c>
      <c r="I31" s="111" t="s">
        <v>1</v>
      </c>
      <c r="J31" s="111" t="s">
        <v>2</v>
      </c>
      <c r="K31" s="111" t="s">
        <v>3</v>
      </c>
      <c r="L31" s="150"/>
      <c r="M31" s="112">
        <v>56.0</v>
      </c>
      <c r="N31" s="74" t="s">
        <v>46</v>
      </c>
      <c r="O31" s="118">
        <v>0.0</v>
      </c>
      <c r="P31" s="119">
        <f>SUMIF(E$10:E$144,"56",D$10:D$144)</f>
        <v>0</v>
      </c>
      <c r="Q31" s="119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45711.0</v>
      </c>
      <c r="C32" s="56"/>
      <c r="D32" s="56"/>
      <c r="E32" s="56"/>
      <c r="F32" s="7"/>
      <c r="G32" s="112">
        <v>15.0</v>
      </c>
      <c r="H32" s="79" t="s">
        <v>47</v>
      </c>
      <c r="I32" s="145">
        <v>45.0</v>
      </c>
      <c r="J32" s="145">
        <v>45.0</v>
      </c>
      <c r="K32" s="146">
        <f t="shared" ref="K32:K38" si="9">+I32-J32</f>
        <v>0</v>
      </c>
      <c r="L32" s="150"/>
      <c r="M32" s="112">
        <v>57.0</v>
      </c>
      <c r="N32" s="74" t="s">
        <v>48</v>
      </c>
      <c r="O32" s="118">
        <v>0.0</v>
      </c>
      <c r="P32" s="119">
        <f>SUMIF(E$10:E$144,"57",D$10:D$144)</f>
        <v>0</v>
      </c>
      <c r="Q32" s="119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45712.0</v>
      </c>
      <c r="C33" s="56"/>
      <c r="D33" s="56"/>
      <c r="E33" s="56"/>
      <c r="F33" s="7"/>
      <c r="G33" s="112">
        <v>16.0</v>
      </c>
      <c r="H33" s="79" t="s">
        <v>49</v>
      </c>
      <c r="I33" s="118">
        <v>89.0</v>
      </c>
      <c r="J33" s="118">
        <v>89.0</v>
      </c>
      <c r="K33" s="119">
        <f t="shared" si="9"/>
        <v>0</v>
      </c>
      <c r="L33" s="150"/>
      <c r="M33" s="112">
        <v>58.0</v>
      </c>
      <c r="N33" s="79" t="s">
        <v>50</v>
      </c>
      <c r="O33" s="118">
        <v>0.0</v>
      </c>
      <c r="P33" s="119">
        <f>SUMIF(E$10:E$144,"58",D$10:D$144)</f>
        <v>0</v>
      </c>
      <c r="Q33" s="119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45713.0</v>
      </c>
      <c r="C34" s="56"/>
      <c r="D34" s="56"/>
      <c r="E34" s="56"/>
      <c r="F34" s="7"/>
      <c r="G34" s="112">
        <v>17.0</v>
      </c>
      <c r="H34" s="79" t="s">
        <v>51</v>
      </c>
      <c r="I34" s="118">
        <v>24.0</v>
      </c>
      <c r="J34" s="118">
        <v>24.0</v>
      </c>
      <c r="K34" s="119">
        <f t="shared" si="9"/>
        <v>0</v>
      </c>
      <c r="L34" s="150"/>
      <c r="M34" s="109"/>
      <c r="N34" s="152" t="s">
        <v>34</v>
      </c>
      <c r="O34" s="123">
        <f t="shared" ref="O34:P34" si="10">SUM(O27:O33)</f>
        <v>140</v>
      </c>
      <c r="P34" s="123">
        <f t="shared" si="10"/>
        <v>0</v>
      </c>
      <c r="Q34" s="123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39">
        <v>45714.0</v>
      </c>
      <c r="C35" s="56"/>
      <c r="D35" s="56"/>
      <c r="E35" s="56"/>
      <c r="F35" s="7"/>
      <c r="G35" s="112">
        <v>18.0</v>
      </c>
      <c r="H35" s="105" t="s">
        <v>52</v>
      </c>
      <c r="I35" s="118">
        <v>21.9</v>
      </c>
      <c r="J35" s="118">
        <v>22.0</v>
      </c>
      <c r="K35" s="119">
        <f t="shared" si="9"/>
        <v>-0.1</v>
      </c>
      <c r="L35" s="150"/>
      <c r="M35" s="158"/>
      <c r="N35" s="98"/>
      <c r="O35" s="98"/>
      <c r="P35" s="98"/>
      <c r="Q35" s="98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39">
        <v>45715.0</v>
      </c>
      <c r="C36" s="56"/>
      <c r="D36" s="56"/>
      <c r="E36" s="56"/>
      <c r="F36" s="7"/>
      <c r="G36" s="112">
        <v>19.0</v>
      </c>
      <c r="H36" s="74" t="s">
        <v>53</v>
      </c>
      <c r="I36" s="118">
        <v>10.9</v>
      </c>
      <c r="J36" s="118">
        <v>11.0</v>
      </c>
      <c r="K36" s="119">
        <f t="shared" si="9"/>
        <v>-0.1</v>
      </c>
      <c r="L36" s="150"/>
      <c r="M36" s="109"/>
      <c r="N36" s="143" t="s">
        <v>54</v>
      </c>
      <c r="O36" s="144" t="s">
        <v>1</v>
      </c>
      <c r="P36" s="111" t="s">
        <v>2</v>
      </c>
      <c r="Q36" s="111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39">
        <v>45716.0</v>
      </c>
      <c r="C37" s="56"/>
      <c r="D37" s="56"/>
      <c r="E37" s="56"/>
      <c r="F37" s="7"/>
      <c r="G37" s="112">
        <v>20.0</v>
      </c>
      <c r="H37" s="74" t="s">
        <v>55</v>
      </c>
      <c r="I37" s="118">
        <v>34.5</v>
      </c>
      <c r="J37" s="118">
        <v>45.0</v>
      </c>
      <c r="K37" s="119">
        <f t="shared" si="9"/>
        <v>-10.5</v>
      </c>
      <c r="L37" s="150"/>
      <c r="M37" s="147">
        <v>60.0</v>
      </c>
      <c r="N37" s="108" t="s">
        <v>56</v>
      </c>
      <c r="O37" s="145">
        <v>450.0</v>
      </c>
      <c r="P37" s="146">
        <f>SUMIF(E$10:E$144,"60",D$10:D$144)</f>
        <v>0</v>
      </c>
      <c r="Q37" s="146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15"/>
      <c r="C38" s="56"/>
      <c r="D38" s="56"/>
      <c r="E38" s="56"/>
      <c r="F38" s="7"/>
      <c r="G38" s="109"/>
      <c r="H38" s="122" t="s">
        <v>34</v>
      </c>
      <c r="I38" s="123">
        <f t="shared" ref="I38:J38" si="11">SUM(I32:I37)</f>
        <v>225.3</v>
      </c>
      <c r="J38" s="123">
        <f t="shared" si="11"/>
        <v>236</v>
      </c>
      <c r="K38" s="123">
        <f t="shared" si="9"/>
        <v>-10.7</v>
      </c>
      <c r="L38" s="150"/>
      <c r="M38" s="112">
        <v>61.0</v>
      </c>
      <c r="N38" s="79" t="s">
        <v>57</v>
      </c>
      <c r="O38" s="118">
        <v>0.0</v>
      </c>
      <c r="P38" s="119">
        <f>SUMIF(E$10:E$144,"61",D$10:D$144)</f>
        <v>0</v>
      </c>
      <c r="Q38" s="119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15"/>
      <c r="C39" s="56"/>
      <c r="D39" s="56"/>
      <c r="E39" s="56"/>
      <c r="F39" s="7"/>
      <c r="G39" s="8"/>
      <c r="H39" s="98"/>
      <c r="I39" s="98"/>
      <c r="J39" s="98"/>
      <c r="K39" s="98"/>
      <c r="L39" s="150"/>
      <c r="M39" s="112">
        <v>62.0</v>
      </c>
      <c r="N39" s="74" t="s">
        <v>58</v>
      </c>
      <c r="O39" s="118">
        <v>120.0</v>
      </c>
      <c r="P39" s="119">
        <f>SUMIF(E$10:E$144,"62",D$10:D$144)</f>
        <v>0</v>
      </c>
      <c r="Q39" s="119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15"/>
      <c r="C40" s="56"/>
      <c r="D40" s="56"/>
      <c r="E40" s="56"/>
      <c r="F40" s="7"/>
      <c r="G40" s="109"/>
      <c r="H40" s="110" t="s">
        <v>59</v>
      </c>
      <c r="I40" s="111" t="s">
        <v>1</v>
      </c>
      <c r="J40" s="111" t="s">
        <v>2</v>
      </c>
      <c r="K40" s="111" t="s">
        <v>3</v>
      </c>
      <c r="L40" s="150"/>
      <c r="M40" s="112">
        <v>63.0</v>
      </c>
      <c r="N40" s="74" t="s">
        <v>60</v>
      </c>
      <c r="O40" s="118">
        <v>148.0</v>
      </c>
      <c r="P40" s="119">
        <f>SUMIF(E$10:E$144,"63",D$10:D$144)</f>
        <v>0</v>
      </c>
      <c r="Q40" s="119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15"/>
      <c r="C41" s="56"/>
      <c r="D41" s="56"/>
      <c r="E41" s="56"/>
      <c r="F41" s="7"/>
      <c r="G41" s="112">
        <v>21.0</v>
      </c>
      <c r="H41" s="79" t="s">
        <v>61</v>
      </c>
      <c r="I41" s="145">
        <v>120.0</v>
      </c>
      <c r="J41" s="146">
        <f>SUMIF(E$10:E$144,"21",D$10:D$144)</f>
        <v>0</v>
      </c>
      <c r="K41" s="146">
        <f t="shared" ref="K41:K51" si="13">+I41-J41</f>
        <v>120</v>
      </c>
      <c r="L41" s="159"/>
      <c r="M41" s="112">
        <v>64.0</v>
      </c>
      <c r="N41" s="79" t="s">
        <v>62</v>
      </c>
      <c r="O41" s="118">
        <v>60.0</v>
      </c>
      <c r="P41" s="119">
        <f>SUMIF(E$10:E$144,"64",D$10:D$144)</f>
        <v>0</v>
      </c>
      <c r="Q41" s="119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15"/>
      <c r="C42" s="56"/>
      <c r="D42" s="56"/>
      <c r="E42" s="56"/>
      <c r="F42" s="7"/>
      <c r="G42" s="112">
        <v>22.0</v>
      </c>
      <c r="H42" s="74" t="s">
        <v>63</v>
      </c>
      <c r="I42" s="118">
        <v>120.0</v>
      </c>
      <c r="J42" s="119">
        <f>SUMIF(E$10:E$144,"22",D$10:D$144)</f>
        <v>0</v>
      </c>
      <c r="K42" s="119">
        <f t="shared" si="13"/>
        <v>120</v>
      </c>
      <c r="L42" s="98"/>
      <c r="M42" s="109"/>
      <c r="N42" s="122" t="s">
        <v>34</v>
      </c>
      <c r="O42" s="123">
        <f t="shared" ref="O42:P42" si="14">SUM(O37:O41)</f>
        <v>778</v>
      </c>
      <c r="P42" s="123">
        <f t="shared" si="14"/>
        <v>0</v>
      </c>
      <c r="Q42" s="123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15"/>
      <c r="C43" s="56"/>
      <c r="D43" s="56"/>
      <c r="E43" s="56"/>
      <c r="F43" s="7"/>
      <c r="G43" s="112">
        <v>23.0</v>
      </c>
      <c r="H43" s="74" t="s">
        <v>64</v>
      </c>
      <c r="I43" s="118">
        <v>100.0</v>
      </c>
      <c r="J43" s="119">
        <f>SUMIF(E$10:E$144,"23",D$10:D$144)</f>
        <v>0</v>
      </c>
      <c r="K43" s="119">
        <f t="shared" si="13"/>
        <v>100</v>
      </c>
      <c r="L43" s="98"/>
      <c r="M43" s="8"/>
      <c r="N43" s="98"/>
      <c r="O43" s="98"/>
      <c r="P43" s="98"/>
      <c r="Q43" s="98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7"/>
      <c r="G44" s="112">
        <v>24.0</v>
      </c>
      <c r="H44" s="79" t="s">
        <v>65</v>
      </c>
      <c r="I44" s="118">
        <v>100.0</v>
      </c>
      <c r="J44" s="119">
        <f>SUMIF(E$10:E$144,"24",D$10:D$144)</f>
        <v>0</v>
      </c>
      <c r="K44" s="119">
        <f t="shared" si="13"/>
        <v>100</v>
      </c>
      <c r="L44" s="98"/>
      <c r="M44" s="109"/>
      <c r="N44" s="160" t="s">
        <v>66</v>
      </c>
      <c r="O44" s="111" t="s">
        <v>1</v>
      </c>
      <c r="P44" s="111" t="s">
        <v>2</v>
      </c>
      <c r="Q44" s="111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7"/>
      <c r="G45" s="112">
        <v>25.0</v>
      </c>
      <c r="H45" s="79" t="s">
        <v>67</v>
      </c>
      <c r="I45" s="118">
        <v>150.0</v>
      </c>
      <c r="J45" s="119">
        <f>SUMIF(E$10:E$144,"25",D$10:D$144)</f>
        <v>0</v>
      </c>
      <c r="K45" s="119">
        <f t="shared" si="13"/>
        <v>150</v>
      </c>
      <c r="L45" s="98"/>
      <c r="M45" s="112">
        <v>70.0</v>
      </c>
      <c r="N45" s="74" t="s">
        <v>68</v>
      </c>
      <c r="O45" s="118">
        <v>0.0</v>
      </c>
      <c r="P45" s="119">
        <f>SUMIF(E$10:E$144,"70",D$10:D$144)</f>
        <v>0</v>
      </c>
      <c r="Q45" s="119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12">
        <v>26.0</v>
      </c>
      <c r="H46" s="79" t="s">
        <v>69</v>
      </c>
      <c r="I46" s="118">
        <v>0.0</v>
      </c>
      <c r="J46" s="119">
        <f>SUMIF(E$10:E$144,"26",D$10:D$144)</f>
        <v>0</v>
      </c>
      <c r="K46" s="119">
        <f t="shared" si="13"/>
        <v>0</v>
      </c>
      <c r="L46" s="98"/>
      <c r="M46" s="112">
        <v>71.0</v>
      </c>
      <c r="N46" s="74" t="s">
        <v>70</v>
      </c>
      <c r="O46" s="118">
        <v>0.0</v>
      </c>
      <c r="P46" s="119">
        <f>SUMIF(E$10:E$144,"71",D$10:D$144)</f>
        <v>0</v>
      </c>
      <c r="Q46" s="119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12">
        <v>27.0</v>
      </c>
      <c r="H47" s="79" t="s">
        <v>71</v>
      </c>
      <c r="I47" s="118">
        <v>89.0</v>
      </c>
      <c r="J47" s="119">
        <f>SUMIF(E$10:E$144,"27",D$10:D$144)</f>
        <v>0</v>
      </c>
      <c r="K47" s="119">
        <f t="shared" si="13"/>
        <v>89</v>
      </c>
      <c r="L47" s="98"/>
      <c r="M47" s="112">
        <v>72.0</v>
      </c>
      <c r="N47" s="74" t="s">
        <v>72</v>
      </c>
      <c r="O47" s="118">
        <v>0.0</v>
      </c>
      <c r="P47" s="119">
        <f>SUMIF(E$10:E$144,"72",D$10:D$144)</f>
        <v>0</v>
      </c>
      <c r="Q47" s="119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12">
        <v>28.0</v>
      </c>
      <c r="H48" s="79" t="s">
        <v>73</v>
      </c>
      <c r="I48" s="118">
        <v>0.0</v>
      </c>
      <c r="J48" s="119">
        <f>SUMIF(E$10:E$144,"28",D$10:D$144)</f>
        <v>0</v>
      </c>
      <c r="K48" s="119">
        <f t="shared" si="13"/>
        <v>0</v>
      </c>
      <c r="L48" s="98"/>
      <c r="M48" s="112">
        <v>73.0</v>
      </c>
      <c r="N48" s="74" t="s">
        <v>74</v>
      </c>
      <c r="O48" s="118">
        <v>0.0</v>
      </c>
      <c r="P48" s="119">
        <f>SUMIF(E$10:E$144,"73",D$10:D$144)</f>
        <v>0</v>
      </c>
      <c r="Q48" s="119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12">
        <v>29.0</v>
      </c>
      <c r="H49" s="79" t="s">
        <v>75</v>
      </c>
      <c r="I49" s="118">
        <v>0.0</v>
      </c>
      <c r="J49" s="119">
        <f>SUMIF(E$10:E$144,"29",D$10:D$144)</f>
        <v>0</v>
      </c>
      <c r="K49" s="119">
        <f t="shared" si="13"/>
        <v>0</v>
      </c>
      <c r="L49" s="98"/>
      <c r="M49" s="112">
        <v>74.0</v>
      </c>
      <c r="N49" s="74" t="s">
        <v>76</v>
      </c>
      <c r="O49" s="118">
        <v>0.0</v>
      </c>
      <c r="P49" s="119">
        <f>SUMIF(E$10:E$144,"74",D$10:D$144)</f>
        <v>0</v>
      </c>
      <c r="Q49" s="119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12">
        <v>30.0</v>
      </c>
      <c r="H50" s="79" t="s">
        <v>77</v>
      </c>
      <c r="I50" s="118">
        <v>0.0</v>
      </c>
      <c r="J50" s="119">
        <f>SUMIF(E$10:E$144,"30",D$10:D$144)</f>
        <v>0</v>
      </c>
      <c r="K50" s="119">
        <f t="shared" si="13"/>
        <v>0</v>
      </c>
      <c r="L50" s="98"/>
      <c r="M50" s="112">
        <v>75.0</v>
      </c>
      <c r="N50" s="79" t="s">
        <v>78</v>
      </c>
      <c r="O50" s="118">
        <v>0.0</v>
      </c>
      <c r="P50" s="119">
        <f>SUMIF(E$10:E$144,"75",D$10:D$144)</f>
        <v>0</v>
      </c>
      <c r="Q50" s="119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09"/>
      <c r="H51" s="122" t="s">
        <v>34</v>
      </c>
      <c r="I51" s="123">
        <f t="shared" ref="I51:J51" si="16">SUM(I41:I50)</f>
        <v>679</v>
      </c>
      <c r="J51" s="123">
        <f t="shared" si="16"/>
        <v>0</v>
      </c>
      <c r="K51" s="123">
        <f t="shared" si="13"/>
        <v>679</v>
      </c>
      <c r="L51" s="98"/>
      <c r="M51" s="112">
        <v>76.0</v>
      </c>
      <c r="N51" s="79" t="s">
        <v>79</v>
      </c>
      <c r="O51" s="118">
        <v>0.0</v>
      </c>
      <c r="P51" s="119">
        <f>SUMIF(E$10:E$144,"76",D$10:D$144)</f>
        <v>0</v>
      </c>
      <c r="Q51" s="119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8"/>
      <c r="H52" s="98"/>
      <c r="I52" s="98"/>
      <c r="J52" s="98"/>
      <c r="K52" s="98"/>
      <c r="L52" s="98"/>
      <c r="M52" s="109"/>
      <c r="N52" s="122" t="s">
        <v>34</v>
      </c>
      <c r="O52" s="123">
        <f t="shared" ref="O52:P52" si="17">SUM(O45:O51)</f>
        <v>0</v>
      </c>
      <c r="P52" s="123">
        <f t="shared" si="17"/>
        <v>0</v>
      </c>
      <c r="Q52" s="123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109"/>
      <c r="H53" s="110" t="s">
        <v>80</v>
      </c>
      <c r="I53" s="111" t="s">
        <v>1</v>
      </c>
      <c r="J53" s="111" t="s">
        <v>2</v>
      </c>
      <c r="K53" s="111" t="s">
        <v>3</v>
      </c>
      <c r="L53" s="98"/>
      <c r="M53" s="8"/>
      <c r="N53" s="98"/>
      <c r="O53" s="98"/>
      <c r="P53" s="98"/>
      <c r="Q53" s="98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112">
        <v>31.0</v>
      </c>
      <c r="H54" s="79" t="s">
        <v>81</v>
      </c>
      <c r="I54" s="118">
        <v>39.0</v>
      </c>
      <c r="J54" s="119">
        <f>SUMIF(E$10:E$144,"31",D$10:D$144)</f>
        <v>0</v>
      </c>
      <c r="K54" s="119">
        <f t="shared" ref="K54:K57" si="18">+I54-J54</f>
        <v>39</v>
      </c>
      <c r="L54" s="98"/>
      <c r="M54" s="109"/>
      <c r="N54" s="110" t="s">
        <v>105</v>
      </c>
      <c r="O54" s="111" t="s">
        <v>1</v>
      </c>
      <c r="P54" s="111" t="s">
        <v>2</v>
      </c>
      <c r="Q54" s="111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12">
        <v>32.0</v>
      </c>
      <c r="H55" s="74" t="s">
        <v>83</v>
      </c>
      <c r="I55" s="118">
        <v>0.0</v>
      </c>
      <c r="J55" s="119">
        <f>SUMIF(E$10:E$144,"32",D$10:D$144)</f>
        <v>0</v>
      </c>
      <c r="K55" s="119">
        <f t="shared" si="18"/>
        <v>0</v>
      </c>
      <c r="L55" s="98"/>
      <c r="M55" s="112">
        <v>80.0</v>
      </c>
      <c r="N55" s="79" t="s">
        <v>106</v>
      </c>
      <c r="O55" s="145">
        <v>89.0</v>
      </c>
      <c r="P55" s="146">
        <f>SUMIF(E$10:E$144,"80",D$10:D$144)</f>
        <v>0</v>
      </c>
      <c r="Q55" s="146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12">
        <v>33.0</v>
      </c>
      <c r="H56" s="79" t="s">
        <v>85</v>
      </c>
      <c r="I56" s="118">
        <v>0.0</v>
      </c>
      <c r="J56" s="119">
        <f>SUMIF(E$10:E$144,"33",D$10:D$144)</f>
        <v>0</v>
      </c>
      <c r="K56" s="119">
        <f t="shared" si="18"/>
        <v>0</v>
      </c>
      <c r="L56" s="98"/>
      <c r="M56" s="112">
        <v>81.0</v>
      </c>
      <c r="N56" s="79" t="s">
        <v>107</v>
      </c>
      <c r="O56" s="118">
        <v>0.0</v>
      </c>
      <c r="P56" s="119">
        <f>SUMIF(E$10:E$144,"81",D$10:D$144)</f>
        <v>0</v>
      </c>
      <c r="Q56" s="119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09"/>
      <c r="H57" s="122" t="s">
        <v>34</v>
      </c>
      <c r="I57" s="123">
        <f t="shared" ref="I57:J57" si="20">SUM(I54:I56)</f>
        <v>39</v>
      </c>
      <c r="J57" s="123">
        <f t="shared" si="20"/>
        <v>0</v>
      </c>
      <c r="K57" s="123">
        <f t="shared" si="18"/>
        <v>39</v>
      </c>
      <c r="L57" s="98"/>
      <c r="M57" s="112">
        <v>82.0</v>
      </c>
      <c r="N57" s="74" t="s">
        <v>108</v>
      </c>
      <c r="O57" s="118">
        <v>140.0</v>
      </c>
      <c r="P57" s="119">
        <f>SUMIF(E$10:E$144,"82",D$10:D$144)</f>
        <v>0</v>
      </c>
      <c r="Q57" s="119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8"/>
      <c r="H58" s="98"/>
      <c r="I58" s="98"/>
      <c r="J58" s="98"/>
      <c r="K58" s="98"/>
      <c r="L58" s="98"/>
      <c r="M58" s="112">
        <v>83.0</v>
      </c>
      <c r="N58" s="79" t="s">
        <v>109</v>
      </c>
      <c r="O58" s="118">
        <v>0.0</v>
      </c>
      <c r="P58" s="119">
        <f>SUMIF(E$10:E$144,"83",D$10:D$144)</f>
        <v>0</v>
      </c>
      <c r="Q58" s="119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09"/>
      <c r="H59" s="160" t="s">
        <v>110</v>
      </c>
      <c r="I59" s="111" t="s">
        <v>1</v>
      </c>
      <c r="J59" s="161" t="s">
        <v>90</v>
      </c>
      <c r="K59" s="161" t="s">
        <v>91</v>
      </c>
      <c r="L59" s="98"/>
      <c r="M59" s="109"/>
      <c r="N59" s="122" t="s">
        <v>34</v>
      </c>
      <c r="O59" s="123">
        <f t="shared" ref="O59:P59" si="21">SUM(O55:O58)</f>
        <v>229</v>
      </c>
      <c r="P59" s="123">
        <f t="shared" si="21"/>
        <v>0</v>
      </c>
      <c r="Q59" s="123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12">
        <v>34.0</v>
      </c>
      <c r="H60" s="74" t="s">
        <v>93</v>
      </c>
      <c r="I60" s="145">
        <v>1200.0</v>
      </c>
      <c r="J60" s="146">
        <f>SUMIF(E$10:E$144,"34",D$10:D$144)</f>
        <v>0</v>
      </c>
      <c r="K60" s="146">
        <f>+I60-O620</f>
        <v>1200</v>
      </c>
      <c r="L60" s="98"/>
      <c r="M60" s="8"/>
      <c r="N60" s="98"/>
      <c r="O60" s="98"/>
      <c r="P60" s="98"/>
      <c r="Q60" s="98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12">
        <v>35.0</v>
      </c>
      <c r="H61" s="74" t="s">
        <v>94</v>
      </c>
      <c r="I61" s="118">
        <v>1200.0</v>
      </c>
      <c r="J61" s="119">
        <f>SUMIF(E$10:E$144,"35",D$10:D$144)</f>
        <v>0</v>
      </c>
      <c r="K61" s="119">
        <f t="shared" ref="K61:K64" si="22">+I61-J61</f>
        <v>1200</v>
      </c>
      <c r="L61" s="98"/>
      <c r="M61" s="109"/>
      <c r="N61" s="110" t="s">
        <v>111</v>
      </c>
      <c r="O61" s="111" t="s">
        <v>1</v>
      </c>
      <c r="P61" s="111" t="s">
        <v>2</v>
      </c>
      <c r="Q61" s="111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12">
        <v>36.0</v>
      </c>
      <c r="H62" s="74" t="s">
        <v>96</v>
      </c>
      <c r="I62" s="118">
        <v>1200.0</v>
      </c>
      <c r="J62" s="119">
        <f>SUMIF(E$10:E$144,"36",D$10:D$144)</f>
        <v>0</v>
      </c>
      <c r="K62" s="119">
        <f t="shared" si="22"/>
        <v>1200</v>
      </c>
      <c r="L62" s="98"/>
      <c r="M62" s="112">
        <v>90.0</v>
      </c>
      <c r="N62" s="74" t="s">
        <v>97</v>
      </c>
      <c r="O62" s="118">
        <v>0.0</v>
      </c>
      <c r="P62" s="119">
        <f>SUMIF(E$10:E$144,"90",D$10:D$144)</f>
        <v>0</v>
      </c>
      <c r="Q62" s="119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12">
        <v>37.0</v>
      </c>
      <c r="H63" s="74" t="s">
        <v>100</v>
      </c>
      <c r="I63" s="118">
        <v>1200.0</v>
      </c>
      <c r="J63" s="119">
        <f>SUMIF(E$10:E$144,"37",D$10:D$144)</f>
        <v>0</v>
      </c>
      <c r="K63" s="119">
        <f t="shared" si="22"/>
        <v>1200</v>
      </c>
      <c r="L63" s="98"/>
      <c r="M63" s="112">
        <v>91.0</v>
      </c>
      <c r="N63" s="74" t="s">
        <v>101</v>
      </c>
      <c r="O63" s="118">
        <v>0.0</v>
      </c>
      <c r="P63" s="119">
        <f>SUMIF(E$10:E$144,"91",D$10:D$144)</f>
        <v>0</v>
      </c>
      <c r="Q63" s="119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7"/>
      <c r="G64" s="109"/>
      <c r="H64" s="122" t="s">
        <v>34</v>
      </c>
      <c r="I64" s="123">
        <f t="shared" ref="I64:J64" si="24">SUM(I60:I63)</f>
        <v>4800</v>
      </c>
      <c r="J64" s="123">
        <f t="shared" si="24"/>
        <v>0</v>
      </c>
      <c r="K64" s="123">
        <f t="shared" si="22"/>
        <v>4800</v>
      </c>
      <c r="L64" s="98"/>
      <c r="M64" s="112">
        <v>92.0</v>
      </c>
      <c r="N64" s="79" t="s">
        <v>102</v>
      </c>
      <c r="O64" s="118">
        <v>0.0</v>
      </c>
      <c r="P64" s="119">
        <f>SUMIF(E$10:E$144,"92",D$10:D$144)</f>
        <v>0</v>
      </c>
      <c r="Q64" s="119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7"/>
      <c r="G65" s="98"/>
      <c r="H65" s="98"/>
      <c r="I65" s="98"/>
      <c r="J65" s="98"/>
      <c r="K65" s="98"/>
      <c r="L65" s="98"/>
      <c r="M65" s="109"/>
      <c r="N65" s="122" t="s">
        <v>34</v>
      </c>
      <c r="O65" s="123">
        <f t="shared" ref="O65:P65" si="25">SUM(O62:O64)</f>
        <v>0</v>
      </c>
      <c r="P65" s="123">
        <f t="shared" si="25"/>
        <v>0</v>
      </c>
      <c r="Q65" s="123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96:E97">
    <cfRule type="cellIs" dxfId="0" priority="1" operator="notBetween">
      <formula>0</formula>
      <formula>100</formula>
    </cfRule>
  </conditionalFormatting>
  <conditionalFormatting sqref="E10:E95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2" t="s">
        <v>112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SUM(D10:D112)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39">
        <v>45717.0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45718.0</v>
      </c>
      <c r="C11" s="56"/>
      <c r="D11" s="56"/>
      <c r="E11" s="56"/>
      <c r="F11" s="7"/>
      <c r="G11" s="140"/>
      <c r="H11" s="141" t="s">
        <v>14</v>
      </c>
      <c r="I11" s="111" t="s">
        <v>1</v>
      </c>
      <c r="J11" s="111" t="s">
        <v>2</v>
      </c>
      <c r="K11" s="111" t="s">
        <v>3</v>
      </c>
      <c r="L11" s="142"/>
      <c r="M11" s="109"/>
      <c r="N11" s="143" t="s">
        <v>15</v>
      </c>
      <c r="O11" s="144" t="s">
        <v>1</v>
      </c>
      <c r="P11" s="111" t="s">
        <v>2</v>
      </c>
      <c r="Q11" s="111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45719.0</v>
      </c>
      <c r="C12" s="56"/>
      <c r="D12" s="56"/>
      <c r="E12" s="56"/>
      <c r="F12" s="7"/>
      <c r="G12" s="112">
        <v>1.0</v>
      </c>
      <c r="H12" s="67" t="s">
        <v>16</v>
      </c>
      <c r="I12" s="145">
        <v>150.0</v>
      </c>
      <c r="J12" s="146">
        <f>SUMIF(E$10:E$144,"1",D$10:D$144)</f>
        <v>0</v>
      </c>
      <c r="K12" s="146">
        <f t="shared" ref="K12:K22" si="2">+I12-J12</f>
        <v>150</v>
      </c>
      <c r="L12" s="106"/>
      <c r="M12" s="147">
        <v>40.0</v>
      </c>
      <c r="N12" s="67" t="s">
        <v>17</v>
      </c>
      <c r="O12" s="145">
        <v>58.0</v>
      </c>
      <c r="P12" s="145">
        <v>45.0</v>
      </c>
      <c r="Q12" s="146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45720.0</v>
      </c>
      <c r="C13" s="56"/>
      <c r="D13" s="56"/>
      <c r="E13" s="56"/>
      <c r="F13" s="7"/>
      <c r="G13" s="112">
        <v>2.0</v>
      </c>
      <c r="H13" s="74" t="s">
        <v>18</v>
      </c>
      <c r="I13" s="145">
        <v>1200.0</v>
      </c>
      <c r="J13" s="119">
        <f>SUMIF(E$10:E$144,"2",D$10:D$144)</f>
        <v>0</v>
      </c>
      <c r="K13" s="119">
        <f t="shared" si="2"/>
        <v>1200</v>
      </c>
      <c r="L13" s="106"/>
      <c r="M13" s="112">
        <v>41.0</v>
      </c>
      <c r="N13" s="74" t="s">
        <v>19</v>
      </c>
      <c r="O13" s="118">
        <v>68.0</v>
      </c>
      <c r="P13" s="119">
        <f>SUMIF(E$10:E$144,"41",D$10:D$144)</f>
        <v>0</v>
      </c>
      <c r="Q13" s="119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45721.0</v>
      </c>
      <c r="C14" s="56"/>
      <c r="D14" s="56"/>
      <c r="E14" s="56"/>
      <c r="F14" s="7"/>
      <c r="G14" s="112">
        <v>3.0</v>
      </c>
      <c r="H14" s="74" t="s">
        <v>20</v>
      </c>
      <c r="I14" s="145">
        <v>250.0</v>
      </c>
      <c r="J14" s="119">
        <f>SUMIF(E$10:E$144,"3",D$10:D$144)</f>
        <v>0</v>
      </c>
      <c r="K14" s="119">
        <f t="shared" si="2"/>
        <v>250</v>
      </c>
      <c r="L14" s="106"/>
      <c r="M14" s="112">
        <v>42.0</v>
      </c>
      <c r="N14" s="79" t="s">
        <v>21</v>
      </c>
      <c r="O14" s="118">
        <v>440.0</v>
      </c>
      <c r="P14" s="118">
        <v>0.0</v>
      </c>
      <c r="Q14" s="119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45722.0</v>
      </c>
      <c r="C15" s="56"/>
      <c r="D15" s="56"/>
      <c r="E15" s="56"/>
      <c r="F15" s="7"/>
      <c r="G15" s="112">
        <v>4.0</v>
      </c>
      <c r="H15" s="74" t="s">
        <v>22</v>
      </c>
      <c r="I15" s="118">
        <v>1200.0</v>
      </c>
      <c r="J15" s="118">
        <v>1400.0</v>
      </c>
      <c r="K15" s="119">
        <f t="shared" si="2"/>
        <v>-200</v>
      </c>
      <c r="L15" s="106"/>
      <c r="M15" s="112">
        <v>43.0</v>
      </c>
      <c r="N15" s="74" t="s">
        <v>23</v>
      </c>
      <c r="O15" s="118">
        <v>240.0</v>
      </c>
      <c r="P15" s="118">
        <v>143.0</v>
      </c>
      <c r="Q15" s="119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45723.0</v>
      </c>
      <c r="C16" s="56"/>
      <c r="D16" s="56"/>
      <c r="E16" s="56"/>
      <c r="F16" s="7"/>
      <c r="G16" s="112">
        <v>5.0</v>
      </c>
      <c r="H16" s="74" t="s">
        <v>24</v>
      </c>
      <c r="I16" s="118">
        <v>120.0</v>
      </c>
      <c r="J16" s="119">
        <f>SUMIF(E$10:E$144,"5",D$10:D$144)</f>
        <v>0</v>
      </c>
      <c r="K16" s="119">
        <f t="shared" si="2"/>
        <v>120</v>
      </c>
      <c r="L16" s="106"/>
      <c r="M16" s="112">
        <v>44.0</v>
      </c>
      <c r="N16" s="74" t="s">
        <v>25</v>
      </c>
      <c r="O16" s="118">
        <v>110.0</v>
      </c>
      <c r="P16" s="118">
        <v>240.0</v>
      </c>
      <c r="Q16" s="119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45724.0</v>
      </c>
      <c r="C17" s="56"/>
      <c r="D17" s="56"/>
      <c r="E17" s="56"/>
      <c r="F17" s="7"/>
      <c r="G17" s="112">
        <v>6.0</v>
      </c>
      <c r="H17" s="79" t="s">
        <v>26</v>
      </c>
      <c r="I17" s="118">
        <v>150.0</v>
      </c>
      <c r="J17" s="118">
        <v>150.0</v>
      </c>
      <c r="K17" s="119">
        <f t="shared" si="2"/>
        <v>0</v>
      </c>
      <c r="L17" s="106"/>
      <c r="M17" s="112">
        <v>45.0</v>
      </c>
      <c r="N17" s="74" t="s">
        <v>27</v>
      </c>
      <c r="O17" s="118">
        <v>0.0</v>
      </c>
      <c r="P17" s="119">
        <f>SUMIF(E$10:E$144,"45",D$10:D$144)</f>
        <v>0</v>
      </c>
      <c r="Q17" s="119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45725.0</v>
      </c>
      <c r="C18" s="56"/>
      <c r="D18" s="56"/>
      <c r="E18" s="56"/>
      <c r="F18" s="7"/>
      <c r="G18" s="112">
        <v>7.0</v>
      </c>
      <c r="H18" s="79" t="s">
        <v>28</v>
      </c>
      <c r="I18" s="118">
        <v>77.0</v>
      </c>
      <c r="J18" s="118">
        <v>77.0</v>
      </c>
      <c r="K18" s="119">
        <f t="shared" si="2"/>
        <v>0</v>
      </c>
      <c r="L18" s="106"/>
      <c r="M18" s="112">
        <v>46.0</v>
      </c>
      <c r="N18" s="74" t="s">
        <v>29</v>
      </c>
      <c r="O18" s="118">
        <v>0.0</v>
      </c>
      <c r="P18" s="119">
        <f>SUMIF(E$10:E$144,"46",D$10:D$144)</f>
        <v>0</v>
      </c>
      <c r="Q18" s="119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45726.0</v>
      </c>
      <c r="C19" s="56"/>
      <c r="D19" s="56"/>
      <c r="E19" s="56"/>
      <c r="F19" s="7"/>
      <c r="G19" s="112">
        <v>8.0</v>
      </c>
      <c r="H19" s="79" t="s">
        <v>30</v>
      </c>
      <c r="I19" s="118">
        <v>55.0</v>
      </c>
      <c r="J19" s="118">
        <v>55.0</v>
      </c>
      <c r="K19" s="119">
        <f t="shared" si="2"/>
        <v>0</v>
      </c>
      <c r="L19" s="106"/>
      <c r="M19" s="112">
        <v>47.0</v>
      </c>
      <c r="O19" s="118">
        <v>0.0</v>
      </c>
      <c r="P19" s="119">
        <f>SUMIF(E$10:E$144,"47",D$10:D$144)</f>
        <v>0</v>
      </c>
      <c r="Q19" s="119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45727.0</v>
      </c>
      <c r="C20" s="56"/>
      <c r="D20" s="56"/>
      <c r="E20" s="56"/>
      <c r="F20" s="7"/>
      <c r="G20" s="112">
        <v>9.0</v>
      </c>
      <c r="H20" s="74" t="s">
        <v>32</v>
      </c>
      <c r="I20" s="118">
        <v>175.0</v>
      </c>
      <c r="J20" s="118">
        <v>175.0</v>
      </c>
      <c r="K20" s="119">
        <f t="shared" si="2"/>
        <v>0</v>
      </c>
      <c r="L20" s="106"/>
      <c r="M20" s="112">
        <v>48.0</v>
      </c>
      <c r="O20" s="118">
        <v>0.0</v>
      </c>
      <c r="P20" s="119">
        <f>SUMIF(E$10:E$144,"48",D$10:D$144)</f>
        <v>0</v>
      </c>
      <c r="Q20" s="119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45728.0</v>
      </c>
      <c r="C21" s="56"/>
      <c r="D21" s="56"/>
      <c r="E21" s="56"/>
      <c r="F21" s="7"/>
      <c r="G21" s="148">
        <v>10.0</v>
      </c>
      <c r="H21" s="81" t="s">
        <v>33</v>
      </c>
      <c r="I21" s="149"/>
      <c r="J21" s="149">
        <f>SUMIF(E$10:E$144,"10",D$10:D$144)</f>
        <v>0</v>
      </c>
      <c r="K21" s="149">
        <f t="shared" si="2"/>
        <v>0</v>
      </c>
      <c r="L21" s="106"/>
      <c r="M21" s="112">
        <v>49.0</v>
      </c>
      <c r="O21" s="118">
        <v>0.0</v>
      </c>
      <c r="P21" s="118">
        <v>0.0</v>
      </c>
      <c r="Q21" s="119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45729.0</v>
      </c>
      <c r="C22" s="56"/>
      <c r="D22" s="56"/>
      <c r="E22" s="56"/>
      <c r="F22" s="7"/>
      <c r="G22" s="109"/>
      <c r="H22" s="122" t="s">
        <v>34</v>
      </c>
      <c r="I22" s="123">
        <f t="shared" ref="I22:J22" si="4">SUM(I12:I21)</f>
        <v>3377</v>
      </c>
      <c r="J22" s="123">
        <f t="shared" si="4"/>
        <v>1857</v>
      </c>
      <c r="K22" s="123">
        <f t="shared" si="2"/>
        <v>1520</v>
      </c>
      <c r="L22" s="150"/>
      <c r="M22" s="112">
        <v>50.0</v>
      </c>
      <c r="O22" s="118">
        <v>0.0</v>
      </c>
      <c r="P22" s="118">
        <v>0.0</v>
      </c>
      <c r="Q22" s="119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45730.0</v>
      </c>
      <c r="C23" s="56"/>
      <c r="D23" s="56"/>
      <c r="E23" s="56"/>
      <c r="F23" s="7"/>
      <c r="G23" s="8"/>
      <c r="H23" s="151"/>
      <c r="I23" s="142"/>
      <c r="J23" s="142"/>
      <c r="K23" s="142"/>
      <c r="L23" s="150"/>
      <c r="M23" s="112">
        <v>51.0</v>
      </c>
      <c r="N23" s="79" t="s">
        <v>104</v>
      </c>
      <c r="O23" s="118">
        <v>0.0</v>
      </c>
      <c r="P23" s="119">
        <f>SUMIF(E$10:E$144,"51",D$10:D$144)</f>
        <v>0</v>
      </c>
      <c r="Q23" s="119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45731.0</v>
      </c>
      <c r="C24" s="56"/>
      <c r="D24" s="56"/>
      <c r="E24" s="56"/>
      <c r="F24" s="7"/>
      <c r="G24" s="109"/>
      <c r="H24" s="110" t="s">
        <v>35</v>
      </c>
      <c r="I24" s="111" t="s">
        <v>1</v>
      </c>
      <c r="J24" s="111" t="s">
        <v>2</v>
      </c>
      <c r="K24" s="111" t="s">
        <v>3</v>
      </c>
      <c r="L24" s="150"/>
      <c r="M24" s="109"/>
      <c r="N24" s="152" t="s">
        <v>34</v>
      </c>
      <c r="O24" s="123">
        <f t="shared" ref="O24:P24" si="5">SUM(O12:O23)</f>
        <v>916</v>
      </c>
      <c r="P24" s="123">
        <f t="shared" si="5"/>
        <v>428</v>
      </c>
      <c r="Q24" s="123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45732.0</v>
      </c>
      <c r="C25" s="56"/>
      <c r="D25" s="56"/>
      <c r="E25" s="56"/>
      <c r="F25" s="7"/>
      <c r="G25" s="112">
        <v>11.0</v>
      </c>
      <c r="H25" s="79" t="s">
        <v>36</v>
      </c>
      <c r="I25" s="145">
        <v>450.0</v>
      </c>
      <c r="J25" s="145">
        <v>450.0</v>
      </c>
      <c r="K25" s="146">
        <f t="shared" ref="K25:K29" si="6">+I25-J25</f>
        <v>0</v>
      </c>
      <c r="L25" s="91"/>
      <c r="M25" s="153"/>
      <c r="N25" s="98"/>
      <c r="O25" s="98"/>
      <c r="P25" s="98"/>
      <c r="Q25" s="98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45733.0</v>
      </c>
      <c r="C26" s="56"/>
      <c r="D26" s="56"/>
      <c r="E26" s="56"/>
      <c r="F26" s="7"/>
      <c r="G26" s="112">
        <v>12.0</v>
      </c>
      <c r="H26" s="79" t="s">
        <v>37</v>
      </c>
      <c r="I26" s="118">
        <v>140.0</v>
      </c>
      <c r="J26" s="118">
        <v>140.0</v>
      </c>
      <c r="K26" s="119">
        <f t="shared" si="6"/>
        <v>0</v>
      </c>
      <c r="L26" s="91"/>
      <c r="M26" s="109"/>
      <c r="N26" s="154" t="s">
        <v>38</v>
      </c>
      <c r="O26" s="111" t="s">
        <v>1</v>
      </c>
      <c r="P26" s="111" t="s">
        <v>2</v>
      </c>
      <c r="Q26" s="111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45734.0</v>
      </c>
      <c r="C27" s="56"/>
      <c r="D27" s="56"/>
      <c r="E27" s="56"/>
      <c r="F27" s="7"/>
      <c r="G27" s="112">
        <v>13.0</v>
      </c>
      <c r="H27" s="74" t="s">
        <v>39</v>
      </c>
      <c r="I27" s="118">
        <v>100.0</v>
      </c>
      <c r="J27" s="118">
        <v>250.0</v>
      </c>
      <c r="K27" s="119">
        <f t="shared" si="6"/>
        <v>-150</v>
      </c>
      <c r="L27" s="91"/>
      <c r="M27" s="155">
        <v>52.0</v>
      </c>
      <c r="N27" s="79" t="s">
        <v>40</v>
      </c>
      <c r="O27" s="145">
        <v>0.0</v>
      </c>
      <c r="P27" s="146">
        <f>SUMIF(E$10:E$144,"52",D$10:D$144)</f>
        <v>0</v>
      </c>
      <c r="Q27" s="146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45735.0</v>
      </c>
      <c r="C28" s="56"/>
      <c r="D28" s="56"/>
      <c r="E28" s="56"/>
      <c r="F28" s="7"/>
      <c r="G28" s="112">
        <v>14.0</v>
      </c>
      <c r="H28" s="74" t="s">
        <v>41</v>
      </c>
      <c r="I28" s="74">
        <v>140.0</v>
      </c>
      <c r="J28" s="119">
        <f>SUMIF(E$10:E$144,"14",D$10:D$144)</f>
        <v>0</v>
      </c>
      <c r="K28" s="119">
        <f t="shared" si="6"/>
        <v>140</v>
      </c>
      <c r="L28" s="91"/>
      <c r="M28" s="156">
        <v>53.0</v>
      </c>
      <c r="N28" s="79" t="s">
        <v>42</v>
      </c>
      <c r="O28" s="118">
        <v>0.0</v>
      </c>
      <c r="P28" s="119">
        <f>SUMIF(E$10:E$144,"53",D$10:D$144)</f>
        <v>0</v>
      </c>
      <c r="Q28" s="119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45736.0</v>
      </c>
      <c r="C29" s="56"/>
      <c r="D29" s="56"/>
      <c r="E29" s="56"/>
      <c r="F29" s="7"/>
      <c r="G29" s="109"/>
      <c r="H29" s="122" t="s">
        <v>34</v>
      </c>
      <c r="I29" s="123">
        <f t="shared" ref="I29:J29" si="8">SUM(I25:I28)</f>
        <v>830</v>
      </c>
      <c r="J29" s="123">
        <f t="shared" si="8"/>
        <v>840</v>
      </c>
      <c r="K29" s="123">
        <f t="shared" si="6"/>
        <v>-10</v>
      </c>
      <c r="L29" s="157"/>
      <c r="M29" s="147">
        <v>54.0</v>
      </c>
      <c r="N29" s="74" t="s">
        <v>43</v>
      </c>
      <c r="O29" s="118">
        <v>0.0</v>
      </c>
      <c r="P29" s="119">
        <f>SUMIF(E$10:E$144,"54",D$10:D$144)</f>
        <v>0</v>
      </c>
      <c r="Q29" s="119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45737.0</v>
      </c>
      <c r="C30" s="56"/>
      <c r="D30" s="56"/>
      <c r="E30" s="56"/>
      <c r="F30" s="7"/>
      <c r="G30" s="8"/>
      <c r="H30" s="106"/>
      <c r="I30" s="150"/>
      <c r="J30" s="150"/>
      <c r="K30" s="150"/>
      <c r="L30" s="142"/>
      <c r="M30" s="112">
        <v>55.0</v>
      </c>
      <c r="N30" s="79" t="s">
        <v>44</v>
      </c>
      <c r="O30" s="118">
        <v>140.0</v>
      </c>
      <c r="P30" s="119">
        <f>SUMIF(E$10:E$144,"55",D$10:D$144)</f>
        <v>0</v>
      </c>
      <c r="Q30" s="119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45738.0</v>
      </c>
      <c r="C31" s="56"/>
      <c r="D31" s="56"/>
      <c r="E31" s="56"/>
      <c r="F31" s="7"/>
      <c r="G31" s="109"/>
      <c r="H31" s="110" t="s">
        <v>45</v>
      </c>
      <c r="I31" s="111" t="s">
        <v>1</v>
      </c>
      <c r="J31" s="111" t="s">
        <v>2</v>
      </c>
      <c r="K31" s="111" t="s">
        <v>3</v>
      </c>
      <c r="L31" s="150"/>
      <c r="M31" s="112">
        <v>56.0</v>
      </c>
      <c r="N31" s="74" t="s">
        <v>46</v>
      </c>
      <c r="O31" s="118">
        <v>0.0</v>
      </c>
      <c r="P31" s="119">
        <f>SUMIF(E$10:E$144,"56",D$10:D$144)</f>
        <v>0</v>
      </c>
      <c r="Q31" s="119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45739.0</v>
      </c>
      <c r="C32" s="56"/>
      <c r="D32" s="56"/>
      <c r="E32" s="56"/>
      <c r="F32" s="7"/>
      <c r="G32" s="112">
        <v>15.0</v>
      </c>
      <c r="H32" s="79" t="s">
        <v>47</v>
      </c>
      <c r="I32" s="145">
        <v>45.0</v>
      </c>
      <c r="J32" s="145">
        <v>45.0</v>
      </c>
      <c r="K32" s="146">
        <f t="shared" ref="K32:K38" si="9">+I32-J32</f>
        <v>0</v>
      </c>
      <c r="L32" s="150"/>
      <c r="M32" s="112">
        <v>57.0</v>
      </c>
      <c r="N32" s="74" t="s">
        <v>48</v>
      </c>
      <c r="O32" s="118">
        <v>0.0</v>
      </c>
      <c r="P32" s="119">
        <f>SUMIF(E$10:E$144,"57",D$10:D$144)</f>
        <v>0</v>
      </c>
      <c r="Q32" s="119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45740.0</v>
      </c>
      <c r="C33" s="56"/>
      <c r="D33" s="56"/>
      <c r="E33" s="56"/>
      <c r="F33" s="7"/>
      <c r="G33" s="112">
        <v>16.0</v>
      </c>
      <c r="H33" s="79" t="s">
        <v>49</v>
      </c>
      <c r="I33" s="118">
        <v>89.0</v>
      </c>
      <c r="J33" s="118">
        <v>89.0</v>
      </c>
      <c r="K33" s="119">
        <f t="shared" si="9"/>
        <v>0</v>
      </c>
      <c r="L33" s="150"/>
      <c r="M33" s="112">
        <v>58.0</v>
      </c>
      <c r="N33" s="79" t="s">
        <v>50</v>
      </c>
      <c r="O33" s="118">
        <v>0.0</v>
      </c>
      <c r="P33" s="119">
        <f>SUMIF(E$10:E$144,"58",D$10:D$144)</f>
        <v>0</v>
      </c>
      <c r="Q33" s="119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45741.0</v>
      </c>
      <c r="C34" s="56"/>
      <c r="D34" s="56"/>
      <c r="E34" s="56"/>
      <c r="F34" s="7"/>
      <c r="G34" s="112">
        <v>17.0</v>
      </c>
      <c r="H34" s="79" t="s">
        <v>51</v>
      </c>
      <c r="I34" s="118">
        <v>24.0</v>
      </c>
      <c r="J34" s="118">
        <v>24.0</v>
      </c>
      <c r="K34" s="119">
        <f t="shared" si="9"/>
        <v>0</v>
      </c>
      <c r="L34" s="150"/>
      <c r="M34" s="109"/>
      <c r="N34" s="152" t="s">
        <v>34</v>
      </c>
      <c r="O34" s="123">
        <f t="shared" ref="O34:P34" si="10">SUM(O27:O33)</f>
        <v>140</v>
      </c>
      <c r="P34" s="123">
        <f t="shared" si="10"/>
        <v>0</v>
      </c>
      <c r="Q34" s="123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39">
        <v>45742.0</v>
      </c>
      <c r="C35" s="56"/>
      <c r="D35" s="56"/>
      <c r="E35" s="56"/>
      <c r="F35" s="7"/>
      <c r="G35" s="112">
        <v>18.0</v>
      </c>
      <c r="H35" s="105" t="s">
        <v>52</v>
      </c>
      <c r="I35" s="118">
        <v>21.9</v>
      </c>
      <c r="J35" s="118">
        <v>22.0</v>
      </c>
      <c r="K35" s="119">
        <f t="shared" si="9"/>
        <v>-0.1</v>
      </c>
      <c r="L35" s="150"/>
      <c r="M35" s="158"/>
      <c r="N35" s="98"/>
      <c r="O35" s="98"/>
      <c r="P35" s="98"/>
      <c r="Q35" s="98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39">
        <v>45743.0</v>
      </c>
      <c r="C36" s="56"/>
      <c r="D36" s="56"/>
      <c r="E36" s="56"/>
      <c r="F36" s="7"/>
      <c r="G36" s="112">
        <v>19.0</v>
      </c>
      <c r="H36" s="74" t="s">
        <v>53</v>
      </c>
      <c r="I36" s="118">
        <v>10.9</v>
      </c>
      <c r="J36" s="118">
        <v>11.0</v>
      </c>
      <c r="K36" s="119">
        <f t="shared" si="9"/>
        <v>-0.1</v>
      </c>
      <c r="L36" s="150"/>
      <c r="M36" s="109"/>
      <c r="N36" s="143" t="s">
        <v>54</v>
      </c>
      <c r="O36" s="144" t="s">
        <v>1</v>
      </c>
      <c r="P36" s="111" t="s">
        <v>2</v>
      </c>
      <c r="Q36" s="111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39">
        <v>45744.0</v>
      </c>
      <c r="C37" s="56"/>
      <c r="D37" s="56"/>
      <c r="E37" s="56"/>
      <c r="F37" s="7"/>
      <c r="G37" s="112">
        <v>20.0</v>
      </c>
      <c r="H37" s="74" t="s">
        <v>55</v>
      </c>
      <c r="I37" s="118">
        <v>34.5</v>
      </c>
      <c r="J37" s="118">
        <v>45.0</v>
      </c>
      <c r="K37" s="119">
        <f t="shared" si="9"/>
        <v>-10.5</v>
      </c>
      <c r="L37" s="150"/>
      <c r="M37" s="147">
        <v>60.0</v>
      </c>
      <c r="N37" s="108" t="s">
        <v>56</v>
      </c>
      <c r="O37" s="145">
        <v>450.0</v>
      </c>
      <c r="P37" s="146">
        <f>SUMIF(E$10:E$144,"60",D$10:D$144)</f>
        <v>0</v>
      </c>
      <c r="Q37" s="146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39">
        <v>45745.0</v>
      </c>
      <c r="C38" s="56"/>
      <c r="D38" s="56"/>
      <c r="E38" s="56"/>
      <c r="F38" s="7"/>
      <c r="G38" s="109"/>
      <c r="H38" s="122" t="s">
        <v>34</v>
      </c>
      <c r="I38" s="123">
        <f t="shared" ref="I38:J38" si="11">SUM(I32:I37)</f>
        <v>225.3</v>
      </c>
      <c r="J38" s="123">
        <f t="shared" si="11"/>
        <v>236</v>
      </c>
      <c r="K38" s="123">
        <f t="shared" si="9"/>
        <v>-10.7</v>
      </c>
      <c r="L38" s="150"/>
      <c r="M38" s="112">
        <v>61.0</v>
      </c>
      <c r="N38" s="79" t="s">
        <v>57</v>
      </c>
      <c r="O38" s="118">
        <v>0.0</v>
      </c>
      <c r="P38" s="119">
        <f>SUMIF(E$10:E$144,"61",D$10:D$144)</f>
        <v>0</v>
      </c>
      <c r="Q38" s="119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39">
        <v>45746.0</v>
      </c>
      <c r="C39" s="56"/>
      <c r="D39" s="56"/>
      <c r="E39" s="56"/>
      <c r="F39" s="7"/>
      <c r="G39" s="8"/>
      <c r="H39" s="98"/>
      <c r="I39" s="98"/>
      <c r="J39" s="98"/>
      <c r="K39" s="98"/>
      <c r="L39" s="150"/>
      <c r="M39" s="112">
        <v>62.0</v>
      </c>
      <c r="N39" s="74" t="s">
        <v>58</v>
      </c>
      <c r="O39" s="118">
        <v>120.0</v>
      </c>
      <c r="P39" s="119">
        <f>SUMIF(E$10:E$144,"62",D$10:D$144)</f>
        <v>0</v>
      </c>
      <c r="Q39" s="119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39">
        <v>45747.0</v>
      </c>
      <c r="C40" s="56"/>
      <c r="D40" s="56"/>
      <c r="E40" s="56"/>
      <c r="F40" s="7"/>
      <c r="G40" s="109"/>
      <c r="H40" s="110" t="s">
        <v>59</v>
      </c>
      <c r="I40" s="111" t="s">
        <v>1</v>
      </c>
      <c r="J40" s="111" t="s">
        <v>2</v>
      </c>
      <c r="K40" s="111" t="s">
        <v>3</v>
      </c>
      <c r="L40" s="150"/>
      <c r="M40" s="112">
        <v>63.0</v>
      </c>
      <c r="N40" s="74" t="s">
        <v>60</v>
      </c>
      <c r="O40" s="118">
        <v>148.0</v>
      </c>
      <c r="P40" s="119">
        <f>SUMIF(E$10:E$144,"63",D$10:D$144)</f>
        <v>0</v>
      </c>
      <c r="Q40" s="119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15"/>
      <c r="C41" s="56"/>
      <c r="D41" s="56"/>
      <c r="E41" s="56"/>
      <c r="F41" s="7"/>
      <c r="G41" s="112">
        <v>21.0</v>
      </c>
      <c r="H41" s="79" t="s">
        <v>61</v>
      </c>
      <c r="I41" s="145">
        <v>120.0</v>
      </c>
      <c r="J41" s="146">
        <f>SUMIF(E$10:E$144,"21",D$10:D$144)</f>
        <v>0</v>
      </c>
      <c r="K41" s="146">
        <f t="shared" ref="K41:K51" si="13">+I41-J41</f>
        <v>120</v>
      </c>
      <c r="L41" s="159"/>
      <c r="M41" s="112">
        <v>64.0</v>
      </c>
      <c r="N41" s="79" t="s">
        <v>62</v>
      </c>
      <c r="O41" s="118">
        <v>60.0</v>
      </c>
      <c r="P41" s="119">
        <f>SUMIF(E$10:E$144,"64",D$10:D$144)</f>
        <v>0</v>
      </c>
      <c r="Q41" s="119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15"/>
      <c r="C42" s="56"/>
      <c r="D42" s="56"/>
      <c r="E42" s="56"/>
      <c r="F42" s="7"/>
      <c r="G42" s="112">
        <v>22.0</v>
      </c>
      <c r="H42" s="74" t="s">
        <v>63</v>
      </c>
      <c r="I42" s="118">
        <v>120.0</v>
      </c>
      <c r="J42" s="119">
        <f>SUMIF(E$10:E$144,"22",D$10:D$144)</f>
        <v>0</v>
      </c>
      <c r="K42" s="119">
        <f t="shared" si="13"/>
        <v>120</v>
      </c>
      <c r="L42" s="98"/>
      <c r="M42" s="109"/>
      <c r="N42" s="122" t="s">
        <v>34</v>
      </c>
      <c r="O42" s="123">
        <f t="shared" ref="O42:P42" si="14">SUM(O37:O41)</f>
        <v>778</v>
      </c>
      <c r="P42" s="123">
        <f t="shared" si="14"/>
        <v>0</v>
      </c>
      <c r="Q42" s="123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15"/>
      <c r="C43" s="56"/>
      <c r="D43" s="56"/>
      <c r="E43" s="56"/>
      <c r="F43" s="7"/>
      <c r="G43" s="112">
        <v>23.0</v>
      </c>
      <c r="H43" s="74" t="s">
        <v>64</v>
      </c>
      <c r="I43" s="118">
        <v>100.0</v>
      </c>
      <c r="J43" s="119">
        <f>SUMIF(E$10:E$144,"23",D$10:D$144)</f>
        <v>0</v>
      </c>
      <c r="K43" s="119">
        <f t="shared" si="13"/>
        <v>100</v>
      </c>
      <c r="L43" s="98"/>
      <c r="M43" s="8"/>
      <c r="N43" s="98"/>
      <c r="O43" s="98"/>
      <c r="P43" s="98"/>
      <c r="Q43" s="98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7"/>
      <c r="G44" s="112">
        <v>24.0</v>
      </c>
      <c r="H44" s="79" t="s">
        <v>65</v>
      </c>
      <c r="I44" s="118">
        <v>100.0</v>
      </c>
      <c r="J44" s="119">
        <f>SUMIF(E$10:E$144,"24",D$10:D$144)</f>
        <v>0</v>
      </c>
      <c r="K44" s="119">
        <f t="shared" si="13"/>
        <v>100</v>
      </c>
      <c r="L44" s="98"/>
      <c r="M44" s="109"/>
      <c r="N44" s="160" t="s">
        <v>66</v>
      </c>
      <c r="O44" s="111" t="s">
        <v>1</v>
      </c>
      <c r="P44" s="111" t="s">
        <v>2</v>
      </c>
      <c r="Q44" s="111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7"/>
      <c r="G45" s="112">
        <v>25.0</v>
      </c>
      <c r="H45" s="79" t="s">
        <v>67</v>
      </c>
      <c r="I45" s="118">
        <v>150.0</v>
      </c>
      <c r="J45" s="119">
        <f>SUMIF(E$10:E$144,"25",D$10:D$144)</f>
        <v>0</v>
      </c>
      <c r="K45" s="119">
        <f t="shared" si="13"/>
        <v>150</v>
      </c>
      <c r="L45" s="98"/>
      <c r="M45" s="112">
        <v>70.0</v>
      </c>
      <c r="N45" s="74" t="s">
        <v>68</v>
      </c>
      <c r="O45" s="118">
        <v>0.0</v>
      </c>
      <c r="P45" s="119">
        <f>SUMIF(E$10:E$144,"70",D$10:D$144)</f>
        <v>0</v>
      </c>
      <c r="Q45" s="119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12">
        <v>26.0</v>
      </c>
      <c r="H46" s="79" t="s">
        <v>69</v>
      </c>
      <c r="I46" s="118">
        <v>0.0</v>
      </c>
      <c r="J46" s="119">
        <f>SUMIF(E$10:E$144,"26",D$10:D$144)</f>
        <v>0</v>
      </c>
      <c r="K46" s="119">
        <f t="shared" si="13"/>
        <v>0</v>
      </c>
      <c r="L46" s="98"/>
      <c r="M46" s="112">
        <v>71.0</v>
      </c>
      <c r="N46" s="74" t="s">
        <v>70</v>
      </c>
      <c r="O46" s="118">
        <v>0.0</v>
      </c>
      <c r="P46" s="119">
        <f>SUMIF(E$10:E$144,"71",D$10:D$144)</f>
        <v>0</v>
      </c>
      <c r="Q46" s="119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12">
        <v>27.0</v>
      </c>
      <c r="H47" s="79" t="s">
        <v>71</v>
      </c>
      <c r="I47" s="118">
        <v>89.0</v>
      </c>
      <c r="J47" s="119">
        <f>SUMIF(E$10:E$144,"27",D$10:D$144)</f>
        <v>0</v>
      </c>
      <c r="K47" s="119">
        <f t="shared" si="13"/>
        <v>89</v>
      </c>
      <c r="L47" s="98"/>
      <c r="M47" s="112">
        <v>72.0</v>
      </c>
      <c r="N47" s="74" t="s">
        <v>72</v>
      </c>
      <c r="O47" s="118">
        <v>0.0</v>
      </c>
      <c r="P47" s="119">
        <f>SUMIF(E$10:E$144,"72",D$10:D$144)</f>
        <v>0</v>
      </c>
      <c r="Q47" s="119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12">
        <v>28.0</v>
      </c>
      <c r="H48" s="79" t="s">
        <v>73</v>
      </c>
      <c r="I48" s="118">
        <v>0.0</v>
      </c>
      <c r="J48" s="119">
        <f>SUMIF(E$10:E$144,"28",D$10:D$144)</f>
        <v>0</v>
      </c>
      <c r="K48" s="119">
        <f t="shared" si="13"/>
        <v>0</v>
      </c>
      <c r="L48" s="98"/>
      <c r="M48" s="112">
        <v>73.0</v>
      </c>
      <c r="N48" s="74" t="s">
        <v>74</v>
      </c>
      <c r="O48" s="118">
        <v>0.0</v>
      </c>
      <c r="P48" s="119">
        <f>SUMIF(E$10:E$144,"73",D$10:D$144)</f>
        <v>0</v>
      </c>
      <c r="Q48" s="119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12">
        <v>29.0</v>
      </c>
      <c r="H49" s="79" t="s">
        <v>75</v>
      </c>
      <c r="I49" s="118">
        <v>0.0</v>
      </c>
      <c r="J49" s="119">
        <f>SUMIF(E$10:E$144,"29",D$10:D$144)</f>
        <v>0</v>
      </c>
      <c r="K49" s="119">
        <f t="shared" si="13"/>
        <v>0</v>
      </c>
      <c r="L49" s="98"/>
      <c r="M49" s="112">
        <v>74.0</v>
      </c>
      <c r="N49" s="74" t="s">
        <v>76</v>
      </c>
      <c r="O49" s="118">
        <v>0.0</v>
      </c>
      <c r="P49" s="119">
        <f>SUMIF(E$10:E$144,"74",D$10:D$144)</f>
        <v>0</v>
      </c>
      <c r="Q49" s="119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12">
        <v>30.0</v>
      </c>
      <c r="H50" s="79" t="s">
        <v>77</v>
      </c>
      <c r="I50" s="118">
        <v>0.0</v>
      </c>
      <c r="J50" s="119">
        <f>SUMIF(E$10:E$144,"30",D$10:D$144)</f>
        <v>0</v>
      </c>
      <c r="K50" s="119">
        <f t="shared" si="13"/>
        <v>0</v>
      </c>
      <c r="L50" s="98"/>
      <c r="M50" s="112">
        <v>75.0</v>
      </c>
      <c r="N50" s="79" t="s">
        <v>78</v>
      </c>
      <c r="O50" s="118">
        <v>0.0</v>
      </c>
      <c r="P50" s="119">
        <f>SUMIF(E$10:E$144,"75",D$10:D$144)</f>
        <v>0</v>
      </c>
      <c r="Q50" s="119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09"/>
      <c r="H51" s="122" t="s">
        <v>34</v>
      </c>
      <c r="I51" s="123">
        <f t="shared" ref="I51:J51" si="16">SUM(I41:I50)</f>
        <v>679</v>
      </c>
      <c r="J51" s="123">
        <f t="shared" si="16"/>
        <v>0</v>
      </c>
      <c r="K51" s="123">
        <f t="shared" si="13"/>
        <v>679</v>
      </c>
      <c r="L51" s="98"/>
      <c r="M51" s="112">
        <v>76.0</v>
      </c>
      <c r="N51" s="79" t="s">
        <v>79</v>
      </c>
      <c r="O51" s="118">
        <v>0.0</v>
      </c>
      <c r="P51" s="119">
        <f>SUMIF(E$10:E$144,"76",D$10:D$144)</f>
        <v>0</v>
      </c>
      <c r="Q51" s="119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8"/>
      <c r="H52" s="98"/>
      <c r="I52" s="98"/>
      <c r="J52" s="98"/>
      <c r="K52" s="98"/>
      <c r="L52" s="98"/>
      <c r="M52" s="109"/>
      <c r="N52" s="122" t="s">
        <v>34</v>
      </c>
      <c r="O52" s="123">
        <f t="shared" ref="O52:P52" si="17">SUM(O45:O51)</f>
        <v>0</v>
      </c>
      <c r="P52" s="123">
        <f t="shared" si="17"/>
        <v>0</v>
      </c>
      <c r="Q52" s="123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109"/>
      <c r="H53" s="110" t="s">
        <v>80</v>
      </c>
      <c r="I53" s="111" t="s">
        <v>1</v>
      </c>
      <c r="J53" s="111" t="s">
        <v>2</v>
      </c>
      <c r="K53" s="111" t="s">
        <v>3</v>
      </c>
      <c r="L53" s="98"/>
      <c r="M53" s="8"/>
      <c r="N53" s="98"/>
      <c r="O53" s="98"/>
      <c r="P53" s="98"/>
      <c r="Q53" s="98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112">
        <v>31.0</v>
      </c>
      <c r="H54" s="79" t="s">
        <v>81</v>
      </c>
      <c r="I54" s="118">
        <v>39.0</v>
      </c>
      <c r="J54" s="119">
        <f>SUMIF(E$10:E$144,"31",D$10:D$144)</f>
        <v>0</v>
      </c>
      <c r="K54" s="119">
        <f t="shared" ref="K54:K57" si="18">+I54-J54</f>
        <v>39</v>
      </c>
      <c r="L54" s="98"/>
      <c r="M54" s="109"/>
      <c r="N54" s="110" t="s">
        <v>105</v>
      </c>
      <c r="O54" s="111" t="s">
        <v>1</v>
      </c>
      <c r="P54" s="111" t="s">
        <v>2</v>
      </c>
      <c r="Q54" s="111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12">
        <v>32.0</v>
      </c>
      <c r="H55" s="74" t="s">
        <v>83</v>
      </c>
      <c r="I55" s="118">
        <v>0.0</v>
      </c>
      <c r="J55" s="119">
        <f>SUMIF(E$10:E$144,"32",D$10:D$144)</f>
        <v>0</v>
      </c>
      <c r="K55" s="119">
        <f t="shared" si="18"/>
        <v>0</v>
      </c>
      <c r="L55" s="98"/>
      <c r="M55" s="112">
        <v>80.0</v>
      </c>
      <c r="N55" s="79" t="s">
        <v>106</v>
      </c>
      <c r="O55" s="145">
        <v>89.0</v>
      </c>
      <c r="P55" s="146">
        <f>SUMIF(E$10:E$144,"80",D$10:D$144)</f>
        <v>0</v>
      </c>
      <c r="Q55" s="146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12">
        <v>33.0</v>
      </c>
      <c r="H56" s="79" t="s">
        <v>85</v>
      </c>
      <c r="I56" s="118">
        <v>0.0</v>
      </c>
      <c r="J56" s="119">
        <f>SUMIF(E$10:E$144,"33",D$10:D$144)</f>
        <v>0</v>
      </c>
      <c r="K56" s="119">
        <f t="shared" si="18"/>
        <v>0</v>
      </c>
      <c r="L56" s="98"/>
      <c r="M56" s="112">
        <v>81.0</v>
      </c>
      <c r="N56" s="79" t="s">
        <v>107</v>
      </c>
      <c r="O56" s="118">
        <v>0.0</v>
      </c>
      <c r="P56" s="119">
        <f>SUMIF(E$10:E$144,"81",D$10:D$144)</f>
        <v>0</v>
      </c>
      <c r="Q56" s="119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09"/>
      <c r="H57" s="122" t="s">
        <v>34</v>
      </c>
      <c r="I57" s="123">
        <f t="shared" ref="I57:J57" si="20">SUM(I54:I56)</f>
        <v>39</v>
      </c>
      <c r="J57" s="123">
        <f t="shared" si="20"/>
        <v>0</v>
      </c>
      <c r="K57" s="123">
        <f t="shared" si="18"/>
        <v>39</v>
      </c>
      <c r="L57" s="98"/>
      <c r="M57" s="112">
        <v>82.0</v>
      </c>
      <c r="N57" s="74" t="s">
        <v>108</v>
      </c>
      <c r="O57" s="118">
        <v>140.0</v>
      </c>
      <c r="P57" s="119">
        <f>SUMIF(E$10:E$144,"82",D$10:D$144)</f>
        <v>0</v>
      </c>
      <c r="Q57" s="119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8"/>
      <c r="H58" s="98"/>
      <c r="I58" s="98"/>
      <c r="J58" s="98"/>
      <c r="K58" s="98"/>
      <c r="L58" s="98"/>
      <c r="M58" s="112">
        <v>83.0</v>
      </c>
      <c r="N58" s="79" t="s">
        <v>109</v>
      </c>
      <c r="O58" s="118">
        <v>0.0</v>
      </c>
      <c r="P58" s="119">
        <f>SUMIF(E$10:E$144,"83",D$10:D$144)</f>
        <v>0</v>
      </c>
      <c r="Q58" s="119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09"/>
      <c r="H59" s="160" t="s">
        <v>110</v>
      </c>
      <c r="I59" s="111" t="s">
        <v>1</v>
      </c>
      <c r="J59" s="161" t="s">
        <v>90</v>
      </c>
      <c r="K59" s="161" t="s">
        <v>91</v>
      </c>
      <c r="L59" s="98"/>
      <c r="M59" s="109"/>
      <c r="N59" s="122" t="s">
        <v>34</v>
      </c>
      <c r="O59" s="123">
        <f t="shared" ref="O59:P59" si="21">SUM(O55:O58)</f>
        <v>229</v>
      </c>
      <c r="P59" s="123">
        <f t="shared" si="21"/>
        <v>0</v>
      </c>
      <c r="Q59" s="123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12">
        <v>34.0</v>
      </c>
      <c r="H60" s="74" t="s">
        <v>93</v>
      </c>
      <c r="I60" s="145">
        <v>1200.0</v>
      </c>
      <c r="J60" s="146">
        <f>SUMIF(E$10:E$144,"34",D$10:D$144)</f>
        <v>0</v>
      </c>
      <c r="K60" s="146">
        <f>+I60-O620</f>
        <v>1200</v>
      </c>
      <c r="L60" s="98"/>
      <c r="M60" s="8"/>
      <c r="N60" s="98"/>
      <c r="O60" s="98"/>
      <c r="P60" s="98"/>
      <c r="Q60" s="98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12">
        <v>35.0</v>
      </c>
      <c r="H61" s="74" t="s">
        <v>94</v>
      </c>
      <c r="I61" s="118">
        <v>1200.0</v>
      </c>
      <c r="J61" s="119">
        <f>SUMIF(E$10:E$144,"35",D$10:D$144)</f>
        <v>0</v>
      </c>
      <c r="K61" s="119">
        <f t="shared" ref="K61:K64" si="22">+I61-J61</f>
        <v>1200</v>
      </c>
      <c r="L61" s="98"/>
      <c r="M61" s="109"/>
      <c r="N61" s="110" t="s">
        <v>111</v>
      </c>
      <c r="O61" s="111" t="s">
        <v>1</v>
      </c>
      <c r="P61" s="111" t="s">
        <v>2</v>
      </c>
      <c r="Q61" s="111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12">
        <v>36.0</v>
      </c>
      <c r="H62" s="74" t="s">
        <v>96</v>
      </c>
      <c r="I62" s="118">
        <v>1200.0</v>
      </c>
      <c r="J62" s="119">
        <f>SUMIF(E$10:E$144,"36",D$10:D$144)</f>
        <v>0</v>
      </c>
      <c r="K62" s="119">
        <f t="shared" si="22"/>
        <v>1200</v>
      </c>
      <c r="L62" s="98"/>
      <c r="M62" s="112">
        <v>90.0</v>
      </c>
      <c r="N62" s="74" t="s">
        <v>97</v>
      </c>
      <c r="O62" s="118">
        <v>0.0</v>
      </c>
      <c r="P62" s="119">
        <f>SUMIF(E$10:E$144,"90",D$10:D$144)</f>
        <v>0</v>
      </c>
      <c r="Q62" s="119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12">
        <v>37.0</v>
      </c>
      <c r="H63" s="74" t="s">
        <v>100</v>
      </c>
      <c r="I63" s="118">
        <v>1200.0</v>
      </c>
      <c r="J63" s="119">
        <f>SUMIF(E$10:E$144,"37",D$10:D$144)</f>
        <v>0</v>
      </c>
      <c r="K63" s="119">
        <f t="shared" si="22"/>
        <v>1200</v>
      </c>
      <c r="L63" s="98"/>
      <c r="M63" s="112">
        <v>91.0</v>
      </c>
      <c r="N63" s="74" t="s">
        <v>101</v>
      </c>
      <c r="O63" s="118">
        <v>0.0</v>
      </c>
      <c r="P63" s="119">
        <f>SUMIF(E$10:E$144,"91",D$10:D$144)</f>
        <v>0</v>
      </c>
      <c r="Q63" s="119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7"/>
      <c r="G64" s="109"/>
      <c r="H64" s="122" t="s">
        <v>34</v>
      </c>
      <c r="I64" s="123">
        <f t="shared" ref="I64:J64" si="24">SUM(I60:I63)</f>
        <v>4800</v>
      </c>
      <c r="J64" s="123">
        <f t="shared" si="24"/>
        <v>0</v>
      </c>
      <c r="K64" s="123">
        <f t="shared" si="22"/>
        <v>4800</v>
      </c>
      <c r="L64" s="98"/>
      <c r="M64" s="112">
        <v>92.0</v>
      </c>
      <c r="N64" s="79" t="s">
        <v>102</v>
      </c>
      <c r="O64" s="118">
        <v>0.0</v>
      </c>
      <c r="P64" s="119">
        <f>SUMIF(E$10:E$144,"92",D$10:D$144)</f>
        <v>0</v>
      </c>
      <c r="Q64" s="119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7"/>
      <c r="G65" s="98"/>
      <c r="H65" s="98"/>
      <c r="I65" s="98"/>
      <c r="J65" s="98"/>
      <c r="K65" s="98"/>
      <c r="L65" s="98"/>
      <c r="M65" s="109"/>
      <c r="N65" s="122" t="s">
        <v>34</v>
      </c>
      <c r="O65" s="123">
        <f t="shared" ref="O65:P65" si="25">SUM(O62:O64)</f>
        <v>0</v>
      </c>
      <c r="P65" s="123">
        <f t="shared" si="25"/>
        <v>0</v>
      </c>
      <c r="Q65" s="123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10:E95">
    <cfRule type="cellIs" dxfId="0" priority="1" operator="notBetween">
      <formula>0</formula>
      <formula>100</formula>
    </cfRule>
  </conditionalFormatting>
  <conditionalFormatting sqref="E96:E97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86"/>
    <col customWidth="1" min="12" max="12" width="6.71"/>
    <col customWidth="1" min="13" max="13" width="3.71"/>
    <col customWidth="1" min="14" max="14" width="22.71"/>
    <col customWidth="1" min="15" max="17" width="11.86"/>
    <col customWidth="1" min="18" max="26" width="9.14"/>
  </cols>
  <sheetData>
    <row r="1" ht="79.5" customHeight="1">
      <c r="A1" s="5"/>
      <c r="B1" s="162" t="s">
        <v>113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4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SUM(D10:D112)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39">
        <v>45748.0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45749.0</v>
      </c>
      <c r="C11" s="56"/>
      <c r="D11" s="56"/>
      <c r="E11" s="56"/>
      <c r="F11" s="7"/>
      <c r="G11" s="140"/>
      <c r="H11" s="141" t="s">
        <v>14</v>
      </c>
      <c r="I11" s="111" t="s">
        <v>1</v>
      </c>
      <c r="J11" s="111" t="s">
        <v>2</v>
      </c>
      <c r="K11" s="111" t="s">
        <v>3</v>
      </c>
      <c r="L11" s="142"/>
      <c r="M11" s="109"/>
      <c r="N11" s="143" t="s">
        <v>15</v>
      </c>
      <c r="O11" s="144" t="s">
        <v>1</v>
      </c>
      <c r="P11" s="111" t="s">
        <v>2</v>
      </c>
      <c r="Q11" s="111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45750.0</v>
      </c>
      <c r="C12" s="56"/>
      <c r="D12" s="56"/>
      <c r="E12" s="56"/>
      <c r="F12" s="7"/>
      <c r="G12" s="112">
        <v>1.0</v>
      </c>
      <c r="H12" s="67" t="s">
        <v>16</v>
      </c>
      <c r="I12" s="145">
        <v>150.0</v>
      </c>
      <c r="J12" s="146">
        <f>SUMIF(E$10:E$144,"1",D$10:D$144)</f>
        <v>0</v>
      </c>
      <c r="K12" s="146">
        <f t="shared" ref="K12:K22" si="2">+I12-J12</f>
        <v>150</v>
      </c>
      <c r="L12" s="106"/>
      <c r="M12" s="147">
        <v>40.0</v>
      </c>
      <c r="N12" s="67" t="s">
        <v>17</v>
      </c>
      <c r="O12" s="145">
        <v>58.0</v>
      </c>
      <c r="P12" s="145">
        <v>45.0</v>
      </c>
      <c r="Q12" s="146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45751.0</v>
      </c>
      <c r="C13" s="56"/>
      <c r="D13" s="56"/>
      <c r="E13" s="56"/>
      <c r="F13" s="7"/>
      <c r="G13" s="112">
        <v>2.0</v>
      </c>
      <c r="H13" s="74" t="s">
        <v>18</v>
      </c>
      <c r="I13" s="145">
        <v>1200.0</v>
      </c>
      <c r="J13" s="119">
        <f>SUMIF(E$10:E$144,"2",D$10:D$144)</f>
        <v>0</v>
      </c>
      <c r="K13" s="119">
        <f t="shared" si="2"/>
        <v>1200</v>
      </c>
      <c r="L13" s="106"/>
      <c r="M13" s="112">
        <v>41.0</v>
      </c>
      <c r="N13" s="74" t="s">
        <v>19</v>
      </c>
      <c r="O13" s="118">
        <v>68.0</v>
      </c>
      <c r="P13" s="119">
        <f>SUMIF(E$10:E$144,"41",D$10:D$144)</f>
        <v>0</v>
      </c>
      <c r="Q13" s="119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45752.0</v>
      </c>
      <c r="C14" s="56"/>
      <c r="D14" s="56"/>
      <c r="E14" s="56"/>
      <c r="F14" s="7"/>
      <c r="G14" s="112">
        <v>3.0</v>
      </c>
      <c r="H14" s="74" t="s">
        <v>20</v>
      </c>
      <c r="I14" s="145">
        <v>250.0</v>
      </c>
      <c r="J14" s="119">
        <f>SUMIF(E$10:E$144,"3",D$10:D$144)</f>
        <v>0</v>
      </c>
      <c r="K14" s="119">
        <f t="shared" si="2"/>
        <v>250</v>
      </c>
      <c r="L14" s="106"/>
      <c r="M14" s="112">
        <v>42.0</v>
      </c>
      <c r="N14" s="79" t="s">
        <v>21</v>
      </c>
      <c r="O14" s="118">
        <v>440.0</v>
      </c>
      <c r="P14" s="118">
        <v>0.0</v>
      </c>
      <c r="Q14" s="119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45753.0</v>
      </c>
      <c r="C15" s="56"/>
      <c r="D15" s="56"/>
      <c r="E15" s="56"/>
      <c r="F15" s="7"/>
      <c r="G15" s="112">
        <v>4.0</v>
      </c>
      <c r="H15" s="74" t="s">
        <v>22</v>
      </c>
      <c r="I15" s="118">
        <v>1200.0</v>
      </c>
      <c r="J15" s="118">
        <v>1400.0</v>
      </c>
      <c r="K15" s="119">
        <f t="shared" si="2"/>
        <v>-200</v>
      </c>
      <c r="L15" s="106"/>
      <c r="M15" s="112">
        <v>43.0</v>
      </c>
      <c r="N15" s="74" t="s">
        <v>23</v>
      </c>
      <c r="O15" s="118">
        <v>240.0</v>
      </c>
      <c r="P15" s="118">
        <v>143.0</v>
      </c>
      <c r="Q15" s="119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45754.0</v>
      </c>
      <c r="C16" s="56"/>
      <c r="D16" s="56"/>
      <c r="E16" s="56"/>
      <c r="F16" s="7"/>
      <c r="G16" s="112">
        <v>5.0</v>
      </c>
      <c r="H16" s="74" t="s">
        <v>24</v>
      </c>
      <c r="I16" s="118">
        <v>120.0</v>
      </c>
      <c r="J16" s="119">
        <f>SUMIF(E$10:E$144,"5",D$10:D$144)</f>
        <v>0</v>
      </c>
      <c r="K16" s="119">
        <f t="shared" si="2"/>
        <v>120</v>
      </c>
      <c r="L16" s="106"/>
      <c r="M16" s="112">
        <v>44.0</v>
      </c>
      <c r="N16" s="74" t="s">
        <v>25</v>
      </c>
      <c r="O16" s="118">
        <v>110.0</v>
      </c>
      <c r="P16" s="118">
        <v>240.0</v>
      </c>
      <c r="Q16" s="119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45755.0</v>
      </c>
      <c r="C17" s="56"/>
      <c r="D17" s="56"/>
      <c r="E17" s="56"/>
      <c r="F17" s="7"/>
      <c r="G17" s="112">
        <v>6.0</v>
      </c>
      <c r="H17" s="79" t="s">
        <v>26</v>
      </c>
      <c r="I17" s="118">
        <v>150.0</v>
      </c>
      <c r="J17" s="118">
        <v>150.0</v>
      </c>
      <c r="K17" s="119">
        <f t="shared" si="2"/>
        <v>0</v>
      </c>
      <c r="L17" s="106"/>
      <c r="M17" s="112">
        <v>45.0</v>
      </c>
      <c r="N17" s="74" t="s">
        <v>27</v>
      </c>
      <c r="O17" s="118">
        <v>0.0</v>
      </c>
      <c r="P17" s="119">
        <f>SUMIF(E$10:E$144,"45",D$10:D$144)</f>
        <v>0</v>
      </c>
      <c r="Q17" s="119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45756.0</v>
      </c>
      <c r="C18" s="56"/>
      <c r="D18" s="56"/>
      <c r="E18" s="56"/>
      <c r="F18" s="7"/>
      <c r="G18" s="112">
        <v>7.0</v>
      </c>
      <c r="H18" s="79" t="s">
        <v>28</v>
      </c>
      <c r="I18" s="118">
        <v>77.0</v>
      </c>
      <c r="J18" s="118">
        <v>77.0</v>
      </c>
      <c r="K18" s="119">
        <f t="shared" si="2"/>
        <v>0</v>
      </c>
      <c r="L18" s="106"/>
      <c r="M18" s="112">
        <v>46.0</v>
      </c>
      <c r="N18" s="74" t="s">
        <v>29</v>
      </c>
      <c r="O18" s="118">
        <v>0.0</v>
      </c>
      <c r="P18" s="119">
        <f>SUMIF(E$10:E$144,"46",D$10:D$144)</f>
        <v>0</v>
      </c>
      <c r="Q18" s="119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45757.0</v>
      </c>
      <c r="C19" s="56"/>
      <c r="D19" s="56"/>
      <c r="E19" s="56"/>
      <c r="F19" s="7"/>
      <c r="G19" s="112">
        <v>8.0</v>
      </c>
      <c r="H19" s="79" t="s">
        <v>30</v>
      </c>
      <c r="I19" s="118">
        <v>55.0</v>
      </c>
      <c r="J19" s="118">
        <v>55.0</v>
      </c>
      <c r="K19" s="119">
        <f t="shared" si="2"/>
        <v>0</v>
      </c>
      <c r="L19" s="106"/>
      <c r="M19" s="112">
        <v>47.0</v>
      </c>
      <c r="O19" s="118">
        <v>0.0</v>
      </c>
      <c r="P19" s="119">
        <f>SUMIF(E$10:E$144,"47",D$10:D$144)</f>
        <v>0</v>
      </c>
      <c r="Q19" s="119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45758.0</v>
      </c>
      <c r="C20" s="56"/>
      <c r="D20" s="56"/>
      <c r="E20" s="56"/>
      <c r="F20" s="7"/>
      <c r="G20" s="112">
        <v>9.0</v>
      </c>
      <c r="H20" s="74" t="s">
        <v>32</v>
      </c>
      <c r="I20" s="118">
        <v>175.0</v>
      </c>
      <c r="J20" s="118">
        <v>175.0</v>
      </c>
      <c r="K20" s="119">
        <f t="shared" si="2"/>
        <v>0</v>
      </c>
      <c r="L20" s="106"/>
      <c r="M20" s="112">
        <v>48.0</v>
      </c>
      <c r="O20" s="118">
        <v>0.0</v>
      </c>
      <c r="P20" s="119">
        <f>SUMIF(E$10:E$144,"48",D$10:D$144)</f>
        <v>0</v>
      </c>
      <c r="Q20" s="119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45759.0</v>
      </c>
      <c r="C21" s="56"/>
      <c r="D21" s="56"/>
      <c r="E21" s="56"/>
      <c r="F21" s="7"/>
      <c r="G21" s="148">
        <v>10.0</v>
      </c>
      <c r="H21" s="81" t="s">
        <v>33</v>
      </c>
      <c r="I21" s="149"/>
      <c r="J21" s="149">
        <f>SUMIF(E$10:E$144,"10",D$10:D$144)</f>
        <v>0</v>
      </c>
      <c r="K21" s="149">
        <f t="shared" si="2"/>
        <v>0</v>
      </c>
      <c r="L21" s="106"/>
      <c r="M21" s="112">
        <v>49.0</v>
      </c>
      <c r="O21" s="118">
        <v>0.0</v>
      </c>
      <c r="P21" s="118">
        <v>0.0</v>
      </c>
      <c r="Q21" s="119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45760.0</v>
      </c>
      <c r="C22" s="56"/>
      <c r="D22" s="56"/>
      <c r="E22" s="56"/>
      <c r="F22" s="7"/>
      <c r="G22" s="109"/>
      <c r="H22" s="122" t="s">
        <v>34</v>
      </c>
      <c r="I22" s="123">
        <f t="shared" ref="I22:J22" si="4">SUM(I12:I21)</f>
        <v>3377</v>
      </c>
      <c r="J22" s="123">
        <f t="shared" si="4"/>
        <v>1857</v>
      </c>
      <c r="K22" s="123">
        <f t="shared" si="2"/>
        <v>1520</v>
      </c>
      <c r="L22" s="150"/>
      <c r="M22" s="112">
        <v>50.0</v>
      </c>
      <c r="O22" s="118">
        <v>0.0</v>
      </c>
      <c r="P22" s="118">
        <v>0.0</v>
      </c>
      <c r="Q22" s="119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45761.0</v>
      </c>
      <c r="C23" s="56"/>
      <c r="D23" s="56"/>
      <c r="E23" s="56"/>
      <c r="F23" s="7"/>
      <c r="G23" s="8"/>
      <c r="H23" s="151"/>
      <c r="I23" s="142"/>
      <c r="J23" s="142"/>
      <c r="K23" s="142"/>
      <c r="L23" s="150"/>
      <c r="M23" s="112">
        <v>51.0</v>
      </c>
      <c r="N23" s="79" t="s">
        <v>104</v>
      </c>
      <c r="O23" s="118">
        <v>0.0</v>
      </c>
      <c r="P23" s="119">
        <f>SUMIF(E$10:E$144,"51",D$10:D$144)</f>
        <v>0</v>
      </c>
      <c r="Q23" s="119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45762.0</v>
      </c>
      <c r="C24" s="56"/>
      <c r="D24" s="56"/>
      <c r="E24" s="56"/>
      <c r="F24" s="7"/>
      <c r="G24" s="109"/>
      <c r="H24" s="110" t="s">
        <v>35</v>
      </c>
      <c r="I24" s="111" t="s">
        <v>1</v>
      </c>
      <c r="J24" s="111" t="s">
        <v>2</v>
      </c>
      <c r="K24" s="111" t="s">
        <v>3</v>
      </c>
      <c r="L24" s="150"/>
      <c r="M24" s="109"/>
      <c r="N24" s="152" t="s">
        <v>34</v>
      </c>
      <c r="O24" s="123">
        <f t="shared" ref="O24:P24" si="5">SUM(O12:O23)</f>
        <v>916</v>
      </c>
      <c r="P24" s="123">
        <f t="shared" si="5"/>
        <v>428</v>
      </c>
      <c r="Q24" s="123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45763.0</v>
      </c>
      <c r="C25" s="56"/>
      <c r="D25" s="56"/>
      <c r="E25" s="56"/>
      <c r="F25" s="7"/>
      <c r="G25" s="112">
        <v>11.0</v>
      </c>
      <c r="H25" s="79" t="s">
        <v>36</v>
      </c>
      <c r="I25" s="145">
        <v>450.0</v>
      </c>
      <c r="J25" s="145">
        <v>450.0</v>
      </c>
      <c r="K25" s="146">
        <f t="shared" ref="K25:K29" si="6">+I25-J25</f>
        <v>0</v>
      </c>
      <c r="L25" s="91"/>
      <c r="M25" s="153"/>
      <c r="N25" s="98"/>
      <c r="O25" s="98"/>
      <c r="P25" s="98"/>
      <c r="Q25" s="98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45764.0</v>
      </c>
      <c r="C26" s="56"/>
      <c r="D26" s="56"/>
      <c r="E26" s="56"/>
      <c r="F26" s="7"/>
      <c r="G26" s="112">
        <v>12.0</v>
      </c>
      <c r="H26" s="79" t="s">
        <v>37</v>
      </c>
      <c r="I26" s="118">
        <v>140.0</v>
      </c>
      <c r="J26" s="118">
        <v>140.0</v>
      </c>
      <c r="K26" s="119">
        <f t="shared" si="6"/>
        <v>0</v>
      </c>
      <c r="L26" s="91"/>
      <c r="M26" s="109"/>
      <c r="N26" s="154" t="s">
        <v>38</v>
      </c>
      <c r="O26" s="111" t="s">
        <v>1</v>
      </c>
      <c r="P26" s="111" t="s">
        <v>2</v>
      </c>
      <c r="Q26" s="111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45765.0</v>
      </c>
      <c r="C27" s="56"/>
      <c r="D27" s="56"/>
      <c r="E27" s="56"/>
      <c r="F27" s="7"/>
      <c r="G27" s="112">
        <v>13.0</v>
      </c>
      <c r="H27" s="74" t="s">
        <v>39</v>
      </c>
      <c r="I27" s="118">
        <v>100.0</v>
      </c>
      <c r="J27" s="118">
        <v>250.0</v>
      </c>
      <c r="K27" s="119">
        <f t="shared" si="6"/>
        <v>-150</v>
      </c>
      <c r="L27" s="91"/>
      <c r="M27" s="155">
        <v>52.0</v>
      </c>
      <c r="N27" s="79" t="s">
        <v>40</v>
      </c>
      <c r="O27" s="145">
        <v>0.0</v>
      </c>
      <c r="P27" s="146">
        <f>SUMIF(E$10:E$144,"52",D$10:D$144)</f>
        <v>0</v>
      </c>
      <c r="Q27" s="146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45766.0</v>
      </c>
      <c r="C28" s="56"/>
      <c r="D28" s="56"/>
      <c r="E28" s="56"/>
      <c r="F28" s="7"/>
      <c r="G28" s="112">
        <v>14.0</v>
      </c>
      <c r="H28" s="74" t="s">
        <v>41</v>
      </c>
      <c r="I28" s="74">
        <v>140.0</v>
      </c>
      <c r="J28" s="119">
        <f>SUMIF(E$10:E$144,"14",D$10:D$144)</f>
        <v>0</v>
      </c>
      <c r="K28" s="119">
        <f t="shared" si="6"/>
        <v>140</v>
      </c>
      <c r="L28" s="91"/>
      <c r="M28" s="156">
        <v>53.0</v>
      </c>
      <c r="N28" s="79" t="s">
        <v>42</v>
      </c>
      <c r="O28" s="118">
        <v>0.0</v>
      </c>
      <c r="P28" s="119">
        <f>SUMIF(E$10:E$144,"53",D$10:D$144)</f>
        <v>0</v>
      </c>
      <c r="Q28" s="119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45767.0</v>
      </c>
      <c r="C29" s="56"/>
      <c r="D29" s="56"/>
      <c r="E29" s="56"/>
      <c r="F29" s="7"/>
      <c r="G29" s="109"/>
      <c r="H29" s="122" t="s">
        <v>34</v>
      </c>
      <c r="I29" s="123">
        <f t="shared" ref="I29:J29" si="8">SUM(I25:I28)</f>
        <v>830</v>
      </c>
      <c r="J29" s="123">
        <f t="shared" si="8"/>
        <v>840</v>
      </c>
      <c r="K29" s="123">
        <f t="shared" si="6"/>
        <v>-10</v>
      </c>
      <c r="L29" s="157"/>
      <c r="M29" s="147">
        <v>54.0</v>
      </c>
      <c r="N29" s="74" t="s">
        <v>43</v>
      </c>
      <c r="O29" s="118">
        <v>0.0</v>
      </c>
      <c r="P29" s="119">
        <f>SUMIF(E$10:E$144,"54",D$10:D$144)</f>
        <v>0</v>
      </c>
      <c r="Q29" s="119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45768.0</v>
      </c>
      <c r="C30" s="56"/>
      <c r="D30" s="56"/>
      <c r="E30" s="56"/>
      <c r="F30" s="7"/>
      <c r="G30" s="8"/>
      <c r="H30" s="106"/>
      <c r="I30" s="150"/>
      <c r="J30" s="150"/>
      <c r="K30" s="150"/>
      <c r="L30" s="142"/>
      <c r="M30" s="112">
        <v>55.0</v>
      </c>
      <c r="N30" s="79" t="s">
        <v>44</v>
      </c>
      <c r="O30" s="118">
        <v>140.0</v>
      </c>
      <c r="P30" s="119">
        <f>SUMIF(E$10:E$144,"55",D$10:D$144)</f>
        <v>0</v>
      </c>
      <c r="Q30" s="119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45769.0</v>
      </c>
      <c r="C31" s="56"/>
      <c r="D31" s="56"/>
      <c r="E31" s="56"/>
      <c r="F31" s="7"/>
      <c r="G31" s="109"/>
      <c r="H31" s="110" t="s">
        <v>45</v>
      </c>
      <c r="I31" s="111" t="s">
        <v>1</v>
      </c>
      <c r="J31" s="111" t="s">
        <v>2</v>
      </c>
      <c r="K31" s="111" t="s">
        <v>3</v>
      </c>
      <c r="L31" s="150"/>
      <c r="M31" s="112">
        <v>56.0</v>
      </c>
      <c r="N31" s="74" t="s">
        <v>46</v>
      </c>
      <c r="O31" s="118">
        <v>0.0</v>
      </c>
      <c r="P31" s="119">
        <f>SUMIF(E$10:E$144,"56",D$10:D$144)</f>
        <v>0</v>
      </c>
      <c r="Q31" s="119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45770.0</v>
      </c>
      <c r="C32" s="56"/>
      <c r="D32" s="56"/>
      <c r="E32" s="56"/>
      <c r="F32" s="7"/>
      <c r="G32" s="112">
        <v>15.0</v>
      </c>
      <c r="H32" s="79" t="s">
        <v>47</v>
      </c>
      <c r="I32" s="145">
        <v>45.0</v>
      </c>
      <c r="J32" s="145">
        <v>45.0</v>
      </c>
      <c r="K32" s="146">
        <f t="shared" ref="K32:K38" si="9">+I32-J32</f>
        <v>0</v>
      </c>
      <c r="L32" s="150"/>
      <c r="M32" s="112">
        <v>57.0</v>
      </c>
      <c r="N32" s="74" t="s">
        <v>48</v>
      </c>
      <c r="O32" s="118">
        <v>0.0</v>
      </c>
      <c r="P32" s="119">
        <f>SUMIF(E$10:E$144,"57",D$10:D$144)</f>
        <v>0</v>
      </c>
      <c r="Q32" s="119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45771.0</v>
      </c>
      <c r="C33" s="56"/>
      <c r="D33" s="56"/>
      <c r="E33" s="56"/>
      <c r="F33" s="7"/>
      <c r="G33" s="112">
        <v>16.0</v>
      </c>
      <c r="H33" s="79" t="s">
        <v>49</v>
      </c>
      <c r="I33" s="118">
        <v>89.0</v>
      </c>
      <c r="J33" s="118">
        <v>89.0</v>
      </c>
      <c r="K33" s="119">
        <f t="shared" si="9"/>
        <v>0</v>
      </c>
      <c r="L33" s="150"/>
      <c r="M33" s="112">
        <v>58.0</v>
      </c>
      <c r="N33" s="79" t="s">
        <v>50</v>
      </c>
      <c r="O33" s="118">
        <v>0.0</v>
      </c>
      <c r="P33" s="119">
        <f>SUMIF(E$10:E$144,"58",D$10:D$144)</f>
        <v>0</v>
      </c>
      <c r="Q33" s="119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45772.0</v>
      </c>
      <c r="C34" s="56"/>
      <c r="D34" s="56"/>
      <c r="E34" s="56"/>
      <c r="F34" s="7"/>
      <c r="G34" s="112">
        <v>17.0</v>
      </c>
      <c r="H34" s="79" t="s">
        <v>51</v>
      </c>
      <c r="I34" s="118">
        <v>24.0</v>
      </c>
      <c r="J34" s="118">
        <v>24.0</v>
      </c>
      <c r="K34" s="119">
        <f t="shared" si="9"/>
        <v>0</v>
      </c>
      <c r="L34" s="150"/>
      <c r="M34" s="109"/>
      <c r="N34" s="152" t="s">
        <v>34</v>
      </c>
      <c r="O34" s="123">
        <f t="shared" ref="O34:P34" si="10">SUM(O27:O33)</f>
        <v>140</v>
      </c>
      <c r="P34" s="123">
        <f t="shared" si="10"/>
        <v>0</v>
      </c>
      <c r="Q34" s="123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39">
        <v>45773.0</v>
      </c>
      <c r="C35" s="56"/>
      <c r="D35" s="56"/>
      <c r="E35" s="56"/>
      <c r="F35" s="7"/>
      <c r="G35" s="112">
        <v>18.0</v>
      </c>
      <c r="H35" s="105" t="s">
        <v>52</v>
      </c>
      <c r="I35" s="118">
        <v>21.9</v>
      </c>
      <c r="J35" s="118">
        <v>22.0</v>
      </c>
      <c r="K35" s="119">
        <f t="shared" si="9"/>
        <v>-0.1</v>
      </c>
      <c r="L35" s="150"/>
      <c r="M35" s="158"/>
      <c r="N35" s="98"/>
      <c r="O35" s="98"/>
      <c r="P35" s="98"/>
      <c r="Q35" s="98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39">
        <v>45774.0</v>
      </c>
      <c r="C36" s="56"/>
      <c r="D36" s="56"/>
      <c r="E36" s="56"/>
      <c r="F36" s="7"/>
      <c r="G36" s="112">
        <v>19.0</v>
      </c>
      <c r="H36" s="74" t="s">
        <v>53</v>
      </c>
      <c r="I36" s="118">
        <v>10.9</v>
      </c>
      <c r="J36" s="118">
        <v>11.0</v>
      </c>
      <c r="K36" s="119">
        <f t="shared" si="9"/>
        <v>-0.1</v>
      </c>
      <c r="L36" s="150"/>
      <c r="M36" s="109"/>
      <c r="N36" s="143" t="s">
        <v>54</v>
      </c>
      <c r="O36" s="144" t="s">
        <v>1</v>
      </c>
      <c r="P36" s="111" t="s">
        <v>2</v>
      </c>
      <c r="Q36" s="111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39">
        <v>45775.0</v>
      </c>
      <c r="C37" s="56"/>
      <c r="D37" s="56"/>
      <c r="E37" s="56"/>
      <c r="F37" s="7"/>
      <c r="G37" s="112">
        <v>20.0</v>
      </c>
      <c r="H37" s="74" t="s">
        <v>55</v>
      </c>
      <c r="I37" s="118">
        <v>34.5</v>
      </c>
      <c r="J37" s="118">
        <v>45.0</v>
      </c>
      <c r="K37" s="119">
        <f t="shared" si="9"/>
        <v>-10.5</v>
      </c>
      <c r="L37" s="150"/>
      <c r="M37" s="147">
        <v>60.0</v>
      </c>
      <c r="N37" s="108" t="s">
        <v>56</v>
      </c>
      <c r="O37" s="145">
        <v>450.0</v>
      </c>
      <c r="P37" s="146">
        <f>SUMIF(E$10:E$144,"60",D$10:D$144)</f>
        <v>0</v>
      </c>
      <c r="Q37" s="146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39">
        <v>45776.0</v>
      </c>
      <c r="C38" s="56"/>
      <c r="D38" s="56"/>
      <c r="E38" s="56"/>
      <c r="F38" s="7"/>
      <c r="G38" s="109"/>
      <c r="H38" s="122" t="s">
        <v>34</v>
      </c>
      <c r="I38" s="123">
        <f t="shared" ref="I38:J38" si="11">SUM(I32:I37)</f>
        <v>225.3</v>
      </c>
      <c r="J38" s="123">
        <f t="shared" si="11"/>
        <v>236</v>
      </c>
      <c r="K38" s="123">
        <f t="shared" si="9"/>
        <v>-10.7</v>
      </c>
      <c r="L38" s="150"/>
      <c r="M38" s="112">
        <v>61.0</v>
      </c>
      <c r="N38" s="79" t="s">
        <v>57</v>
      </c>
      <c r="O38" s="118">
        <v>0.0</v>
      </c>
      <c r="P38" s="119">
        <f>SUMIF(E$10:E$144,"61",D$10:D$144)</f>
        <v>0</v>
      </c>
      <c r="Q38" s="119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39">
        <v>45777.0</v>
      </c>
      <c r="C39" s="56"/>
      <c r="D39" s="56"/>
      <c r="E39" s="56"/>
      <c r="F39" s="7"/>
      <c r="G39" s="8"/>
      <c r="H39" s="98"/>
      <c r="I39" s="98"/>
      <c r="J39" s="98"/>
      <c r="K39" s="98"/>
      <c r="L39" s="150"/>
      <c r="M39" s="112">
        <v>62.0</v>
      </c>
      <c r="N39" s="74" t="s">
        <v>58</v>
      </c>
      <c r="O39" s="118">
        <v>120.0</v>
      </c>
      <c r="P39" s="119">
        <f>SUMIF(E$10:E$144,"62",D$10:D$144)</f>
        <v>0</v>
      </c>
      <c r="Q39" s="119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39"/>
      <c r="C40" s="56"/>
      <c r="D40" s="56"/>
      <c r="E40" s="56"/>
      <c r="F40" s="7"/>
      <c r="G40" s="109"/>
      <c r="H40" s="110" t="s">
        <v>59</v>
      </c>
      <c r="I40" s="111" t="s">
        <v>1</v>
      </c>
      <c r="J40" s="111" t="s">
        <v>2</v>
      </c>
      <c r="K40" s="111" t="s">
        <v>3</v>
      </c>
      <c r="L40" s="150"/>
      <c r="M40" s="112">
        <v>63.0</v>
      </c>
      <c r="N40" s="74" t="s">
        <v>60</v>
      </c>
      <c r="O40" s="118">
        <v>148.0</v>
      </c>
      <c r="P40" s="119">
        <f>SUMIF(E$10:E$144,"63",D$10:D$144)</f>
        <v>0</v>
      </c>
      <c r="Q40" s="119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39"/>
      <c r="C41" s="56"/>
      <c r="D41" s="56"/>
      <c r="E41" s="56"/>
      <c r="F41" s="7"/>
      <c r="G41" s="112">
        <v>21.0</v>
      </c>
      <c r="H41" s="79" t="s">
        <v>61</v>
      </c>
      <c r="I41" s="145">
        <v>120.0</v>
      </c>
      <c r="J41" s="146">
        <f>SUMIF(E$10:E$144,"21",D$10:D$144)</f>
        <v>0</v>
      </c>
      <c r="K41" s="146">
        <f t="shared" ref="K41:K51" si="13">+I41-J41</f>
        <v>120</v>
      </c>
      <c r="L41" s="159"/>
      <c r="M41" s="112">
        <v>64.0</v>
      </c>
      <c r="N41" s="79" t="s">
        <v>62</v>
      </c>
      <c r="O41" s="118">
        <v>60.0</v>
      </c>
      <c r="P41" s="119">
        <f>SUMIF(E$10:E$144,"64",D$10:D$144)</f>
        <v>0</v>
      </c>
      <c r="Q41" s="119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39"/>
      <c r="C42" s="56"/>
      <c r="D42" s="56"/>
      <c r="E42" s="56"/>
      <c r="F42" s="7"/>
      <c r="G42" s="112">
        <v>22.0</v>
      </c>
      <c r="H42" s="74" t="s">
        <v>63</v>
      </c>
      <c r="I42" s="118">
        <v>120.0</v>
      </c>
      <c r="J42" s="119">
        <f>SUMIF(E$10:E$144,"22",D$10:D$144)</f>
        <v>0</v>
      </c>
      <c r="K42" s="119">
        <f t="shared" si="13"/>
        <v>120</v>
      </c>
      <c r="L42" s="98"/>
      <c r="M42" s="109"/>
      <c r="N42" s="122" t="s">
        <v>34</v>
      </c>
      <c r="O42" s="123">
        <f t="shared" ref="O42:P42" si="14">SUM(O37:O41)</f>
        <v>778</v>
      </c>
      <c r="P42" s="123">
        <f t="shared" si="14"/>
        <v>0</v>
      </c>
      <c r="Q42" s="123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39"/>
      <c r="C43" s="56"/>
      <c r="D43" s="56"/>
      <c r="E43" s="56"/>
      <c r="F43" s="7"/>
      <c r="G43" s="112">
        <v>23.0</v>
      </c>
      <c r="H43" s="74" t="s">
        <v>64</v>
      </c>
      <c r="I43" s="118">
        <v>100.0</v>
      </c>
      <c r="J43" s="119">
        <f>SUMIF(E$10:E$144,"23",D$10:D$144)</f>
        <v>0</v>
      </c>
      <c r="K43" s="119">
        <f t="shared" si="13"/>
        <v>100</v>
      </c>
      <c r="L43" s="98"/>
      <c r="M43" s="8"/>
      <c r="N43" s="98"/>
      <c r="O43" s="98"/>
      <c r="P43" s="98"/>
      <c r="Q43" s="98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7"/>
      <c r="G44" s="112">
        <v>24.0</v>
      </c>
      <c r="H44" s="79" t="s">
        <v>65</v>
      </c>
      <c r="I44" s="118">
        <v>100.0</v>
      </c>
      <c r="J44" s="119">
        <f>SUMIF(E$10:E$144,"24",D$10:D$144)</f>
        <v>0</v>
      </c>
      <c r="K44" s="119">
        <f t="shared" si="13"/>
        <v>100</v>
      </c>
      <c r="L44" s="98"/>
      <c r="M44" s="109"/>
      <c r="N44" s="160" t="s">
        <v>66</v>
      </c>
      <c r="O44" s="111" t="s">
        <v>1</v>
      </c>
      <c r="P44" s="111" t="s">
        <v>2</v>
      </c>
      <c r="Q44" s="111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7"/>
      <c r="G45" s="112">
        <v>25.0</v>
      </c>
      <c r="H45" s="79" t="s">
        <v>67</v>
      </c>
      <c r="I45" s="118">
        <v>150.0</v>
      </c>
      <c r="J45" s="119">
        <f>SUMIF(E$10:E$144,"25",D$10:D$144)</f>
        <v>0</v>
      </c>
      <c r="K45" s="119">
        <f t="shared" si="13"/>
        <v>150</v>
      </c>
      <c r="L45" s="98"/>
      <c r="M45" s="112">
        <v>70.0</v>
      </c>
      <c r="N45" s="74" t="s">
        <v>68</v>
      </c>
      <c r="O45" s="118">
        <v>0.0</v>
      </c>
      <c r="P45" s="119">
        <f>SUMIF(E$10:E$144,"70",D$10:D$144)</f>
        <v>0</v>
      </c>
      <c r="Q45" s="119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12">
        <v>26.0</v>
      </c>
      <c r="H46" s="79" t="s">
        <v>69</v>
      </c>
      <c r="I46" s="118">
        <v>0.0</v>
      </c>
      <c r="J46" s="119">
        <f>SUMIF(E$10:E$144,"26",D$10:D$144)</f>
        <v>0</v>
      </c>
      <c r="K46" s="119">
        <f t="shared" si="13"/>
        <v>0</v>
      </c>
      <c r="L46" s="98"/>
      <c r="M46" s="112">
        <v>71.0</v>
      </c>
      <c r="N46" s="74" t="s">
        <v>70</v>
      </c>
      <c r="O46" s="118">
        <v>0.0</v>
      </c>
      <c r="P46" s="119">
        <f>SUMIF(E$10:E$144,"71",D$10:D$144)</f>
        <v>0</v>
      </c>
      <c r="Q46" s="119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12">
        <v>27.0</v>
      </c>
      <c r="H47" s="79" t="s">
        <v>71</v>
      </c>
      <c r="I47" s="118">
        <v>89.0</v>
      </c>
      <c r="J47" s="119">
        <f>SUMIF(E$10:E$144,"27",D$10:D$144)</f>
        <v>0</v>
      </c>
      <c r="K47" s="119">
        <f t="shared" si="13"/>
        <v>89</v>
      </c>
      <c r="L47" s="98"/>
      <c r="M47" s="112">
        <v>72.0</v>
      </c>
      <c r="N47" s="74" t="s">
        <v>72</v>
      </c>
      <c r="O47" s="118">
        <v>0.0</v>
      </c>
      <c r="P47" s="119">
        <f>SUMIF(E$10:E$144,"72",D$10:D$144)</f>
        <v>0</v>
      </c>
      <c r="Q47" s="119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12">
        <v>28.0</v>
      </c>
      <c r="H48" s="79" t="s">
        <v>73</v>
      </c>
      <c r="I48" s="118">
        <v>0.0</v>
      </c>
      <c r="J48" s="119">
        <f>SUMIF(E$10:E$144,"28",D$10:D$144)</f>
        <v>0</v>
      </c>
      <c r="K48" s="119">
        <f t="shared" si="13"/>
        <v>0</v>
      </c>
      <c r="L48" s="98"/>
      <c r="M48" s="112">
        <v>73.0</v>
      </c>
      <c r="N48" s="74" t="s">
        <v>74</v>
      </c>
      <c r="O48" s="118">
        <v>0.0</v>
      </c>
      <c r="P48" s="119">
        <f>SUMIF(E$10:E$144,"73",D$10:D$144)</f>
        <v>0</v>
      </c>
      <c r="Q48" s="119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12">
        <v>29.0</v>
      </c>
      <c r="H49" s="79" t="s">
        <v>75</v>
      </c>
      <c r="I49" s="118">
        <v>0.0</v>
      </c>
      <c r="J49" s="119">
        <f>SUMIF(E$10:E$144,"29",D$10:D$144)</f>
        <v>0</v>
      </c>
      <c r="K49" s="119">
        <f t="shared" si="13"/>
        <v>0</v>
      </c>
      <c r="L49" s="98"/>
      <c r="M49" s="112">
        <v>74.0</v>
      </c>
      <c r="N49" s="74" t="s">
        <v>76</v>
      </c>
      <c r="O49" s="118">
        <v>0.0</v>
      </c>
      <c r="P49" s="119">
        <f>SUMIF(E$10:E$144,"74",D$10:D$144)</f>
        <v>0</v>
      </c>
      <c r="Q49" s="119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12">
        <v>30.0</v>
      </c>
      <c r="H50" s="79" t="s">
        <v>77</v>
      </c>
      <c r="I50" s="118">
        <v>0.0</v>
      </c>
      <c r="J50" s="119">
        <f>SUMIF(E$10:E$144,"30",D$10:D$144)</f>
        <v>0</v>
      </c>
      <c r="K50" s="119">
        <f t="shared" si="13"/>
        <v>0</v>
      </c>
      <c r="L50" s="98"/>
      <c r="M50" s="112">
        <v>75.0</v>
      </c>
      <c r="N50" s="79" t="s">
        <v>78</v>
      </c>
      <c r="O50" s="118">
        <v>0.0</v>
      </c>
      <c r="P50" s="119">
        <f>SUMIF(E$10:E$144,"75",D$10:D$144)</f>
        <v>0</v>
      </c>
      <c r="Q50" s="119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09"/>
      <c r="H51" s="122" t="s">
        <v>34</v>
      </c>
      <c r="I51" s="123">
        <f t="shared" ref="I51:J51" si="16">SUM(I41:I50)</f>
        <v>679</v>
      </c>
      <c r="J51" s="123">
        <f t="shared" si="16"/>
        <v>0</v>
      </c>
      <c r="K51" s="123">
        <f t="shared" si="13"/>
        <v>679</v>
      </c>
      <c r="L51" s="98"/>
      <c r="M51" s="112">
        <v>76.0</v>
      </c>
      <c r="N51" s="79" t="s">
        <v>79</v>
      </c>
      <c r="O51" s="118">
        <v>0.0</v>
      </c>
      <c r="P51" s="119">
        <f>SUMIF(E$10:E$144,"76",D$10:D$144)</f>
        <v>0</v>
      </c>
      <c r="Q51" s="119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8"/>
      <c r="H52" s="98"/>
      <c r="I52" s="98"/>
      <c r="J52" s="98"/>
      <c r="K52" s="98"/>
      <c r="L52" s="98"/>
      <c r="M52" s="109"/>
      <c r="N52" s="122" t="s">
        <v>34</v>
      </c>
      <c r="O52" s="123">
        <f t="shared" ref="O52:P52" si="17">SUM(O45:O51)</f>
        <v>0</v>
      </c>
      <c r="P52" s="123">
        <f t="shared" si="17"/>
        <v>0</v>
      </c>
      <c r="Q52" s="123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109"/>
      <c r="H53" s="110" t="s">
        <v>80</v>
      </c>
      <c r="I53" s="111" t="s">
        <v>1</v>
      </c>
      <c r="J53" s="111" t="s">
        <v>2</v>
      </c>
      <c r="K53" s="111" t="s">
        <v>3</v>
      </c>
      <c r="L53" s="98"/>
      <c r="M53" s="8"/>
      <c r="N53" s="98"/>
      <c r="O53" s="98"/>
      <c r="P53" s="98"/>
      <c r="Q53" s="98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112">
        <v>31.0</v>
      </c>
      <c r="H54" s="79" t="s">
        <v>81</v>
      </c>
      <c r="I54" s="118">
        <v>39.0</v>
      </c>
      <c r="J54" s="119">
        <f>SUMIF(E$10:E$144,"31",D$10:D$144)</f>
        <v>0</v>
      </c>
      <c r="K54" s="119">
        <f t="shared" ref="K54:K57" si="18">+I54-J54</f>
        <v>39</v>
      </c>
      <c r="L54" s="98"/>
      <c r="M54" s="109"/>
      <c r="N54" s="110" t="s">
        <v>105</v>
      </c>
      <c r="O54" s="111" t="s">
        <v>1</v>
      </c>
      <c r="P54" s="111" t="s">
        <v>2</v>
      </c>
      <c r="Q54" s="111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12">
        <v>32.0</v>
      </c>
      <c r="H55" s="74" t="s">
        <v>83</v>
      </c>
      <c r="I55" s="118">
        <v>0.0</v>
      </c>
      <c r="J55" s="119">
        <f>SUMIF(E$10:E$144,"32",D$10:D$144)</f>
        <v>0</v>
      </c>
      <c r="K55" s="119">
        <f t="shared" si="18"/>
        <v>0</v>
      </c>
      <c r="L55" s="98"/>
      <c r="M55" s="112">
        <v>80.0</v>
      </c>
      <c r="N55" s="79" t="s">
        <v>106</v>
      </c>
      <c r="O55" s="145">
        <v>89.0</v>
      </c>
      <c r="P55" s="146">
        <f>SUMIF(E$10:E$144,"80",D$10:D$144)</f>
        <v>0</v>
      </c>
      <c r="Q55" s="146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12">
        <v>33.0</v>
      </c>
      <c r="H56" s="79" t="s">
        <v>85</v>
      </c>
      <c r="I56" s="118">
        <v>0.0</v>
      </c>
      <c r="J56" s="119">
        <f>SUMIF(E$10:E$144,"33",D$10:D$144)</f>
        <v>0</v>
      </c>
      <c r="K56" s="119">
        <f t="shared" si="18"/>
        <v>0</v>
      </c>
      <c r="L56" s="98"/>
      <c r="M56" s="112">
        <v>81.0</v>
      </c>
      <c r="N56" s="79" t="s">
        <v>107</v>
      </c>
      <c r="O56" s="118">
        <v>0.0</v>
      </c>
      <c r="P56" s="119">
        <f>SUMIF(E$10:E$144,"81",D$10:D$144)</f>
        <v>0</v>
      </c>
      <c r="Q56" s="119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09"/>
      <c r="H57" s="122" t="s">
        <v>34</v>
      </c>
      <c r="I57" s="123">
        <f t="shared" ref="I57:J57" si="20">SUM(I54:I56)</f>
        <v>39</v>
      </c>
      <c r="J57" s="123">
        <f t="shared" si="20"/>
        <v>0</v>
      </c>
      <c r="K57" s="123">
        <f t="shared" si="18"/>
        <v>39</v>
      </c>
      <c r="L57" s="98"/>
      <c r="M57" s="112">
        <v>82.0</v>
      </c>
      <c r="N57" s="74" t="s">
        <v>108</v>
      </c>
      <c r="O57" s="118">
        <v>140.0</v>
      </c>
      <c r="P57" s="119">
        <f>SUMIF(E$10:E$144,"82",D$10:D$144)</f>
        <v>0</v>
      </c>
      <c r="Q57" s="119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8"/>
      <c r="H58" s="98"/>
      <c r="I58" s="98"/>
      <c r="J58" s="98"/>
      <c r="K58" s="98"/>
      <c r="L58" s="98"/>
      <c r="M58" s="112">
        <v>83.0</v>
      </c>
      <c r="N58" s="79" t="s">
        <v>109</v>
      </c>
      <c r="O58" s="118">
        <v>0.0</v>
      </c>
      <c r="P58" s="119">
        <f>SUMIF(E$10:E$144,"83",D$10:D$144)</f>
        <v>0</v>
      </c>
      <c r="Q58" s="119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09"/>
      <c r="H59" s="160" t="s">
        <v>110</v>
      </c>
      <c r="I59" s="111" t="s">
        <v>1</v>
      </c>
      <c r="J59" s="161" t="s">
        <v>90</v>
      </c>
      <c r="K59" s="161" t="s">
        <v>91</v>
      </c>
      <c r="L59" s="98"/>
      <c r="M59" s="109"/>
      <c r="N59" s="122" t="s">
        <v>34</v>
      </c>
      <c r="O59" s="123">
        <f t="shared" ref="O59:P59" si="21">SUM(O55:O58)</f>
        <v>229</v>
      </c>
      <c r="P59" s="123">
        <f t="shared" si="21"/>
        <v>0</v>
      </c>
      <c r="Q59" s="123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12">
        <v>34.0</v>
      </c>
      <c r="H60" s="74" t="s">
        <v>93</v>
      </c>
      <c r="I60" s="145">
        <v>1200.0</v>
      </c>
      <c r="J60" s="146">
        <f>SUMIF(E$10:E$144,"34",D$10:D$144)</f>
        <v>0</v>
      </c>
      <c r="K60" s="146">
        <f>+I60-O620</f>
        <v>1200</v>
      </c>
      <c r="L60" s="98"/>
      <c r="M60" s="8"/>
      <c r="N60" s="98"/>
      <c r="O60" s="98"/>
      <c r="P60" s="98"/>
      <c r="Q60" s="98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12">
        <v>35.0</v>
      </c>
      <c r="H61" s="74" t="s">
        <v>94</v>
      </c>
      <c r="I61" s="118">
        <v>1200.0</v>
      </c>
      <c r="J61" s="119">
        <f>SUMIF(E$10:E$144,"35",D$10:D$144)</f>
        <v>0</v>
      </c>
      <c r="K61" s="119">
        <f t="shared" ref="K61:K64" si="22">+I61-J61</f>
        <v>1200</v>
      </c>
      <c r="L61" s="98"/>
      <c r="M61" s="109"/>
      <c r="N61" s="110" t="s">
        <v>111</v>
      </c>
      <c r="O61" s="111" t="s">
        <v>1</v>
      </c>
      <c r="P61" s="111" t="s">
        <v>2</v>
      </c>
      <c r="Q61" s="111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12">
        <v>36.0</v>
      </c>
      <c r="H62" s="74" t="s">
        <v>96</v>
      </c>
      <c r="I62" s="118">
        <v>1200.0</v>
      </c>
      <c r="J62" s="119">
        <f>SUMIF(E$10:E$144,"36",D$10:D$144)</f>
        <v>0</v>
      </c>
      <c r="K62" s="119">
        <f t="shared" si="22"/>
        <v>1200</v>
      </c>
      <c r="L62" s="98"/>
      <c r="M62" s="112">
        <v>90.0</v>
      </c>
      <c r="N62" s="74" t="s">
        <v>97</v>
      </c>
      <c r="O62" s="118">
        <v>0.0</v>
      </c>
      <c r="P62" s="119">
        <f>SUMIF(E$10:E$144,"90",D$10:D$144)</f>
        <v>0</v>
      </c>
      <c r="Q62" s="119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39">
        <v>45717.0</v>
      </c>
      <c r="C63" s="56"/>
      <c r="D63" s="56"/>
      <c r="E63" s="56"/>
      <c r="F63" s="7"/>
      <c r="G63" s="112">
        <v>37.0</v>
      </c>
      <c r="H63" s="74" t="s">
        <v>100</v>
      </c>
      <c r="I63" s="118">
        <v>1200.0</v>
      </c>
      <c r="J63" s="119">
        <f>SUMIF(E$10:E$144,"37",D$10:D$144)</f>
        <v>0</v>
      </c>
      <c r="K63" s="119">
        <f t="shared" si="22"/>
        <v>1200</v>
      </c>
      <c r="L63" s="98"/>
      <c r="M63" s="112">
        <v>91.0</v>
      </c>
      <c r="N63" s="74" t="s">
        <v>101</v>
      </c>
      <c r="O63" s="118">
        <v>0.0</v>
      </c>
      <c r="P63" s="119">
        <f>SUMIF(E$10:E$144,"91",D$10:D$144)</f>
        <v>0</v>
      </c>
      <c r="Q63" s="119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39">
        <v>45718.0</v>
      </c>
      <c r="C64" s="56"/>
      <c r="D64" s="56"/>
      <c r="E64" s="56"/>
      <c r="F64" s="7"/>
      <c r="G64" s="109"/>
      <c r="H64" s="122" t="s">
        <v>34</v>
      </c>
      <c r="I64" s="123">
        <f t="shared" ref="I64:J64" si="24">SUM(I60:I63)</f>
        <v>4800</v>
      </c>
      <c r="J64" s="123">
        <f t="shared" si="24"/>
        <v>0</v>
      </c>
      <c r="K64" s="123">
        <f t="shared" si="22"/>
        <v>4800</v>
      </c>
      <c r="L64" s="98"/>
      <c r="M64" s="112">
        <v>92.0</v>
      </c>
      <c r="N64" s="79" t="s">
        <v>102</v>
      </c>
      <c r="O64" s="118">
        <v>0.0</v>
      </c>
      <c r="P64" s="119">
        <f>SUMIF(E$10:E$144,"92",D$10:D$144)</f>
        <v>0</v>
      </c>
      <c r="Q64" s="119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39">
        <v>45719.0</v>
      </c>
      <c r="C65" s="56"/>
      <c r="D65" s="56"/>
      <c r="E65" s="56"/>
      <c r="F65" s="7"/>
      <c r="G65" s="98"/>
      <c r="H65" s="98"/>
      <c r="I65" s="98"/>
      <c r="J65" s="98"/>
      <c r="K65" s="98"/>
      <c r="L65" s="98"/>
      <c r="M65" s="109"/>
      <c r="N65" s="122" t="s">
        <v>34</v>
      </c>
      <c r="O65" s="123">
        <f t="shared" ref="O65:P65" si="25">SUM(O62:O64)</f>
        <v>0</v>
      </c>
      <c r="P65" s="123">
        <f t="shared" si="25"/>
        <v>0</v>
      </c>
      <c r="Q65" s="123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39">
        <v>45720.0</v>
      </c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39">
        <v>45721.0</v>
      </c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39">
        <v>45722.0</v>
      </c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39">
        <v>45723.0</v>
      </c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39">
        <v>45724.0</v>
      </c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39">
        <v>45725.0</v>
      </c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39">
        <v>45726.0</v>
      </c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39">
        <v>45727.0</v>
      </c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39">
        <v>45728.0</v>
      </c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39">
        <v>45729.0</v>
      </c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39">
        <v>45730.0</v>
      </c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39">
        <v>45731.0</v>
      </c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39">
        <v>45732.0</v>
      </c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39">
        <v>45733.0</v>
      </c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39">
        <v>45734.0</v>
      </c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39">
        <v>45735.0</v>
      </c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39">
        <v>45736.0</v>
      </c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39">
        <v>45737.0</v>
      </c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39">
        <v>45738.0</v>
      </c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39">
        <v>45739.0</v>
      </c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39">
        <v>45740.0</v>
      </c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39">
        <v>45741.0</v>
      </c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39">
        <v>45742.0</v>
      </c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39">
        <v>45743.0</v>
      </c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39">
        <v>45744.0</v>
      </c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39">
        <v>45745.0</v>
      </c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39">
        <v>45746.0</v>
      </c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39">
        <v>45747.0</v>
      </c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39">
        <v>45748.0</v>
      </c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10:E95">
    <cfRule type="cellIs" dxfId="0" priority="1" operator="notBetween">
      <formula>0</formula>
      <formula>100</formula>
    </cfRule>
  </conditionalFormatting>
  <conditionalFormatting sqref="E96:E97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165" t="s">
        <v>113</v>
      </c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SUM(D10:D112)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66">
        <v>45778.0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66">
        <v>45779.0</v>
      </c>
      <c r="C11" s="56"/>
      <c r="D11" s="56"/>
      <c r="E11" s="56"/>
      <c r="F11" s="7"/>
      <c r="G11" s="140"/>
      <c r="H11" s="141" t="s">
        <v>14</v>
      </c>
      <c r="I11" s="111" t="s">
        <v>1</v>
      </c>
      <c r="J11" s="111" t="s">
        <v>2</v>
      </c>
      <c r="K11" s="111" t="s">
        <v>3</v>
      </c>
      <c r="L11" s="142"/>
      <c r="M11" s="109"/>
      <c r="N11" s="143" t="s">
        <v>15</v>
      </c>
      <c r="O11" s="144" t="s">
        <v>1</v>
      </c>
      <c r="P11" s="111" t="s">
        <v>2</v>
      </c>
      <c r="Q11" s="111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66">
        <v>45780.0</v>
      </c>
      <c r="C12" s="56"/>
      <c r="D12" s="56"/>
      <c r="E12" s="56"/>
      <c r="F12" s="7"/>
      <c r="G12" s="112">
        <v>1.0</v>
      </c>
      <c r="H12" s="67" t="s">
        <v>16</v>
      </c>
      <c r="I12" s="145">
        <v>150.0</v>
      </c>
      <c r="J12" s="146">
        <f>SUMIF(E$10:E$144,"1",D$10:D$144)</f>
        <v>0</v>
      </c>
      <c r="K12" s="146">
        <f t="shared" ref="K12:K22" si="2">+I12-J12</f>
        <v>150</v>
      </c>
      <c r="L12" s="106"/>
      <c r="M12" s="147">
        <v>40.0</v>
      </c>
      <c r="N12" s="67" t="s">
        <v>17</v>
      </c>
      <c r="O12" s="145">
        <v>58.0</v>
      </c>
      <c r="P12" s="145">
        <v>45.0</v>
      </c>
      <c r="Q12" s="146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66">
        <v>45781.0</v>
      </c>
      <c r="C13" s="56"/>
      <c r="D13" s="56"/>
      <c r="E13" s="56"/>
      <c r="F13" s="7"/>
      <c r="G13" s="112">
        <v>2.0</v>
      </c>
      <c r="H13" s="74" t="s">
        <v>18</v>
      </c>
      <c r="I13" s="145">
        <v>1200.0</v>
      </c>
      <c r="J13" s="119">
        <f>SUMIF(E$10:E$144,"2",D$10:D$144)</f>
        <v>0</v>
      </c>
      <c r="K13" s="119">
        <f t="shared" si="2"/>
        <v>1200</v>
      </c>
      <c r="L13" s="106"/>
      <c r="M13" s="112">
        <v>41.0</v>
      </c>
      <c r="N13" s="74" t="s">
        <v>19</v>
      </c>
      <c r="O13" s="118">
        <v>68.0</v>
      </c>
      <c r="P13" s="119">
        <f>SUMIF(E$10:E$144,"41",D$10:D$144)</f>
        <v>0</v>
      </c>
      <c r="Q13" s="119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66">
        <v>45782.0</v>
      </c>
      <c r="C14" s="56"/>
      <c r="D14" s="56"/>
      <c r="E14" s="56"/>
      <c r="F14" s="7"/>
      <c r="G14" s="112">
        <v>3.0</v>
      </c>
      <c r="H14" s="74" t="s">
        <v>20</v>
      </c>
      <c r="I14" s="145">
        <v>250.0</v>
      </c>
      <c r="J14" s="119">
        <f>SUMIF(E$10:E$144,"3",D$10:D$144)</f>
        <v>0</v>
      </c>
      <c r="K14" s="119">
        <f t="shared" si="2"/>
        <v>250</v>
      </c>
      <c r="L14" s="106"/>
      <c r="M14" s="112">
        <v>42.0</v>
      </c>
      <c r="N14" s="79" t="s">
        <v>21</v>
      </c>
      <c r="O14" s="118">
        <v>440.0</v>
      </c>
      <c r="P14" s="118">
        <v>0.0</v>
      </c>
      <c r="Q14" s="119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66">
        <v>45783.0</v>
      </c>
      <c r="C15" s="56"/>
      <c r="D15" s="56"/>
      <c r="E15" s="56"/>
      <c r="F15" s="7"/>
      <c r="G15" s="112">
        <v>4.0</v>
      </c>
      <c r="H15" s="74" t="s">
        <v>22</v>
      </c>
      <c r="I15" s="118">
        <v>1200.0</v>
      </c>
      <c r="J15" s="118">
        <v>1400.0</v>
      </c>
      <c r="K15" s="119">
        <f t="shared" si="2"/>
        <v>-200</v>
      </c>
      <c r="L15" s="106"/>
      <c r="M15" s="112">
        <v>43.0</v>
      </c>
      <c r="N15" s="74" t="s">
        <v>23</v>
      </c>
      <c r="O15" s="118">
        <v>240.0</v>
      </c>
      <c r="P15" s="118">
        <v>143.0</v>
      </c>
      <c r="Q15" s="119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66">
        <v>45784.0</v>
      </c>
      <c r="C16" s="56"/>
      <c r="D16" s="56"/>
      <c r="E16" s="56"/>
      <c r="F16" s="7"/>
      <c r="G16" s="112">
        <v>5.0</v>
      </c>
      <c r="H16" s="74" t="s">
        <v>24</v>
      </c>
      <c r="I16" s="118">
        <v>120.0</v>
      </c>
      <c r="J16" s="119">
        <f>SUMIF(E$10:E$144,"5",D$10:D$144)</f>
        <v>0</v>
      </c>
      <c r="K16" s="119">
        <f t="shared" si="2"/>
        <v>120</v>
      </c>
      <c r="L16" s="106"/>
      <c r="M16" s="112">
        <v>44.0</v>
      </c>
      <c r="N16" s="74" t="s">
        <v>25</v>
      </c>
      <c r="O16" s="118">
        <v>110.0</v>
      </c>
      <c r="P16" s="118">
        <v>240.0</v>
      </c>
      <c r="Q16" s="119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66">
        <v>45785.0</v>
      </c>
      <c r="C17" s="56"/>
      <c r="D17" s="56"/>
      <c r="E17" s="56"/>
      <c r="F17" s="7"/>
      <c r="G17" s="112">
        <v>6.0</v>
      </c>
      <c r="H17" s="79" t="s">
        <v>26</v>
      </c>
      <c r="I17" s="118">
        <v>150.0</v>
      </c>
      <c r="J17" s="118">
        <v>150.0</v>
      </c>
      <c r="K17" s="119">
        <f t="shared" si="2"/>
        <v>0</v>
      </c>
      <c r="L17" s="106"/>
      <c r="M17" s="112">
        <v>45.0</v>
      </c>
      <c r="N17" s="74" t="s">
        <v>27</v>
      </c>
      <c r="O17" s="118">
        <v>0.0</v>
      </c>
      <c r="P17" s="119">
        <f>SUMIF(E$10:E$144,"45",D$10:D$144)</f>
        <v>0</v>
      </c>
      <c r="Q17" s="119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66">
        <v>45786.0</v>
      </c>
      <c r="C18" s="56"/>
      <c r="D18" s="56"/>
      <c r="E18" s="56"/>
      <c r="F18" s="7"/>
      <c r="G18" s="112">
        <v>7.0</v>
      </c>
      <c r="H18" s="79" t="s">
        <v>28</v>
      </c>
      <c r="I18" s="118">
        <v>77.0</v>
      </c>
      <c r="J18" s="118">
        <v>77.0</v>
      </c>
      <c r="K18" s="119">
        <f t="shared" si="2"/>
        <v>0</v>
      </c>
      <c r="L18" s="106"/>
      <c r="M18" s="112">
        <v>46.0</v>
      </c>
      <c r="N18" s="74" t="s">
        <v>29</v>
      </c>
      <c r="O18" s="118">
        <v>0.0</v>
      </c>
      <c r="P18" s="119">
        <f>SUMIF(E$10:E$144,"46",D$10:D$144)</f>
        <v>0</v>
      </c>
      <c r="Q18" s="119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66">
        <v>45787.0</v>
      </c>
      <c r="C19" s="56"/>
      <c r="D19" s="56"/>
      <c r="E19" s="56"/>
      <c r="F19" s="7"/>
      <c r="G19" s="112">
        <v>8.0</v>
      </c>
      <c r="H19" s="79" t="s">
        <v>30</v>
      </c>
      <c r="I19" s="118">
        <v>55.0</v>
      </c>
      <c r="J19" s="118">
        <v>55.0</v>
      </c>
      <c r="K19" s="119">
        <f t="shared" si="2"/>
        <v>0</v>
      </c>
      <c r="L19" s="106"/>
      <c r="M19" s="112">
        <v>47.0</v>
      </c>
      <c r="O19" s="118">
        <v>0.0</v>
      </c>
      <c r="P19" s="119">
        <f>SUMIF(E$10:E$144,"47",D$10:D$144)</f>
        <v>0</v>
      </c>
      <c r="Q19" s="119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66">
        <v>45788.0</v>
      </c>
      <c r="C20" s="56"/>
      <c r="D20" s="56"/>
      <c r="E20" s="56"/>
      <c r="F20" s="7"/>
      <c r="G20" s="112">
        <v>9.0</v>
      </c>
      <c r="H20" s="74" t="s">
        <v>32</v>
      </c>
      <c r="I20" s="118">
        <v>175.0</v>
      </c>
      <c r="J20" s="118">
        <v>175.0</v>
      </c>
      <c r="K20" s="119">
        <f t="shared" si="2"/>
        <v>0</v>
      </c>
      <c r="L20" s="106"/>
      <c r="M20" s="112">
        <v>48.0</v>
      </c>
      <c r="O20" s="118">
        <v>0.0</v>
      </c>
      <c r="P20" s="119">
        <f>SUMIF(E$10:E$144,"48",D$10:D$144)</f>
        <v>0</v>
      </c>
      <c r="Q20" s="119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66">
        <v>45789.0</v>
      </c>
      <c r="C21" s="56"/>
      <c r="D21" s="56"/>
      <c r="E21" s="56"/>
      <c r="F21" s="7"/>
      <c r="G21" s="148">
        <v>10.0</v>
      </c>
      <c r="H21" s="81" t="s">
        <v>33</v>
      </c>
      <c r="I21" s="149"/>
      <c r="J21" s="149">
        <f>SUMIF(E$10:E$144,"10",D$10:D$144)</f>
        <v>0</v>
      </c>
      <c r="K21" s="149">
        <f t="shared" si="2"/>
        <v>0</v>
      </c>
      <c r="L21" s="106"/>
      <c r="M21" s="112">
        <v>49.0</v>
      </c>
      <c r="O21" s="118">
        <v>0.0</v>
      </c>
      <c r="P21" s="118">
        <v>0.0</v>
      </c>
      <c r="Q21" s="119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66">
        <v>45790.0</v>
      </c>
      <c r="C22" s="56"/>
      <c r="D22" s="56"/>
      <c r="E22" s="56"/>
      <c r="F22" s="7"/>
      <c r="G22" s="109"/>
      <c r="H22" s="122" t="s">
        <v>34</v>
      </c>
      <c r="I22" s="123">
        <f t="shared" ref="I22:J22" si="4">SUM(I12:I21)</f>
        <v>3377</v>
      </c>
      <c r="J22" s="123">
        <f t="shared" si="4"/>
        <v>1857</v>
      </c>
      <c r="K22" s="123">
        <f t="shared" si="2"/>
        <v>1520</v>
      </c>
      <c r="L22" s="150"/>
      <c r="M22" s="112">
        <v>50.0</v>
      </c>
      <c r="O22" s="118">
        <v>0.0</v>
      </c>
      <c r="P22" s="118">
        <v>0.0</v>
      </c>
      <c r="Q22" s="119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66">
        <v>45791.0</v>
      </c>
      <c r="C23" s="56"/>
      <c r="D23" s="56"/>
      <c r="E23" s="56"/>
      <c r="F23" s="7"/>
      <c r="G23" s="8"/>
      <c r="H23" s="151"/>
      <c r="I23" s="142"/>
      <c r="J23" s="142"/>
      <c r="K23" s="142"/>
      <c r="L23" s="150"/>
      <c r="M23" s="112">
        <v>51.0</v>
      </c>
      <c r="N23" s="79" t="s">
        <v>104</v>
      </c>
      <c r="O23" s="118">
        <v>0.0</v>
      </c>
      <c r="P23" s="119">
        <f>SUMIF(E$10:E$144,"51",D$10:D$144)</f>
        <v>0</v>
      </c>
      <c r="Q23" s="119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66">
        <v>45792.0</v>
      </c>
      <c r="C24" s="56"/>
      <c r="D24" s="56"/>
      <c r="E24" s="56"/>
      <c r="F24" s="7"/>
      <c r="G24" s="109"/>
      <c r="H24" s="110" t="s">
        <v>35</v>
      </c>
      <c r="I24" s="111" t="s">
        <v>1</v>
      </c>
      <c r="J24" s="111" t="s">
        <v>2</v>
      </c>
      <c r="K24" s="111" t="s">
        <v>3</v>
      </c>
      <c r="L24" s="150"/>
      <c r="M24" s="109"/>
      <c r="N24" s="152" t="s">
        <v>34</v>
      </c>
      <c r="O24" s="123">
        <f t="shared" ref="O24:P24" si="5">SUM(O12:O23)</f>
        <v>916</v>
      </c>
      <c r="P24" s="123">
        <f t="shared" si="5"/>
        <v>428</v>
      </c>
      <c r="Q24" s="123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66">
        <v>45793.0</v>
      </c>
      <c r="C25" s="56"/>
      <c r="D25" s="56"/>
      <c r="E25" s="56"/>
      <c r="F25" s="7"/>
      <c r="G25" s="112">
        <v>11.0</v>
      </c>
      <c r="H25" s="79" t="s">
        <v>36</v>
      </c>
      <c r="I25" s="145">
        <v>450.0</v>
      </c>
      <c r="J25" s="145">
        <v>450.0</v>
      </c>
      <c r="K25" s="146">
        <f t="shared" ref="K25:K29" si="6">+I25-J25</f>
        <v>0</v>
      </c>
      <c r="L25" s="91"/>
      <c r="M25" s="153"/>
      <c r="N25" s="98"/>
      <c r="O25" s="98"/>
      <c r="P25" s="98"/>
      <c r="Q25" s="98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66">
        <v>45794.0</v>
      </c>
      <c r="C26" s="56"/>
      <c r="D26" s="56"/>
      <c r="E26" s="56"/>
      <c r="F26" s="7"/>
      <c r="G26" s="112">
        <v>12.0</v>
      </c>
      <c r="H26" s="79" t="s">
        <v>37</v>
      </c>
      <c r="I26" s="118">
        <v>140.0</v>
      </c>
      <c r="J26" s="118">
        <v>140.0</v>
      </c>
      <c r="K26" s="119">
        <f t="shared" si="6"/>
        <v>0</v>
      </c>
      <c r="L26" s="91"/>
      <c r="M26" s="109"/>
      <c r="N26" s="154" t="s">
        <v>38</v>
      </c>
      <c r="O26" s="111" t="s">
        <v>1</v>
      </c>
      <c r="P26" s="111" t="s">
        <v>2</v>
      </c>
      <c r="Q26" s="111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66">
        <v>45795.0</v>
      </c>
      <c r="C27" s="56"/>
      <c r="D27" s="56"/>
      <c r="E27" s="56"/>
      <c r="F27" s="7"/>
      <c r="G27" s="112">
        <v>13.0</v>
      </c>
      <c r="H27" s="74" t="s">
        <v>39</v>
      </c>
      <c r="I27" s="118">
        <v>100.0</v>
      </c>
      <c r="J27" s="118">
        <v>250.0</v>
      </c>
      <c r="K27" s="119">
        <f t="shared" si="6"/>
        <v>-150</v>
      </c>
      <c r="L27" s="91"/>
      <c r="M27" s="155">
        <v>52.0</v>
      </c>
      <c r="N27" s="79" t="s">
        <v>40</v>
      </c>
      <c r="O27" s="145">
        <v>0.0</v>
      </c>
      <c r="P27" s="146">
        <f>SUMIF(E$10:E$144,"52",D$10:D$144)</f>
        <v>0</v>
      </c>
      <c r="Q27" s="146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66">
        <v>45796.0</v>
      </c>
      <c r="C28" s="56"/>
      <c r="D28" s="56"/>
      <c r="E28" s="56"/>
      <c r="F28" s="7"/>
      <c r="G28" s="112">
        <v>14.0</v>
      </c>
      <c r="H28" s="74" t="s">
        <v>41</v>
      </c>
      <c r="I28" s="74">
        <v>140.0</v>
      </c>
      <c r="J28" s="119">
        <f>SUMIF(E$10:E$144,"14",D$10:D$144)</f>
        <v>0</v>
      </c>
      <c r="K28" s="119">
        <f t="shared" si="6"/>
        <v>140</v>
      </c>
      <c r="L28" s="91"/>
      <c r="M28" s="156">
        <v>53.0</v>
      </c>
      <c r="N28" s="79" t="s">
        <v>42</v>
      </c>
      <c r="O28" s="118">
        <v>0.0</v>
      </c>
      <c r="P28" s="119">
        <f>SUMIF(E$10:E$144,"53",D$10:D$144)</f>
        <v>0</v>
      </c>
      <c r="Q28" s="119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66">
        <v>45797.0</v>
      </c>
      <c r="C29" s="56"/>
      <c r="D29" s="56"/>
      <c r="E29" s="56"/>
      <c r="F29" s="7"/>
      <c r="G29" s="109"/>
      <c r="H29" s="122" t="s">
        <v>34</v>
      </c>
      <c r="I29" s="123">
        <f t="shared" ref="I29:J29" si="8">SUM(I25:I28)</f>
        <v>830</v>
      </c>
      <c r="J29" s="123">
        <f t="shared" si="8"/>
        <v>840</v>
      </c>
      <c r="K29" s="123">
        <f t="shared" si="6"/>
        <v>-10</v>
      </c>
      <c r="L29" s="157"/>
      <c r="M29" s="147">
        <v>54.0</v>
      </c>
      <c r="N29" s="74" t="s">
        <v>43</v>
      </c>
      <c r="O29" s="118">
        <v>0.0</v>
      </c>
      <c r="P29" s="119">
        <f>SUMIF(E$10:E$144,"54",D$10:D$144)</f>
        <v>0</v>
      </c>
      <c r="Q29" s="119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66">
        <v>45798.0</v>
      </c>
      <c r="C30" s="56"/>
      <c r="D30" s="56"/>
      <c r="E30" s="56"/>
      <c r="F30" s="7"/>
      <c r="G30" s="8"/>
      <c r="H30" s="106"/>
      <c r="I30" s="150"/>
      <c r="J30" s="150"/>
      <c r="K30" s="150"/>
      <c r="L30" s="142"/>
      <c r="M30" s="112">
        <v>55.0</v>
      </c>
      <c r="N30" s="79" t="s">
        <v>44</v>
      </c>
      <c r="O30" s="118">
        <v>140.0</v>
      </c>
      <c r="P30" s="119">
        <f>SUMIF(E$10:E$144,"55",D$10:D$144)</f>
        <v>0</v>
      </c>
      <c r="Q30" s="119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66">
        <v>45799.0</v>
      </c>
      <c r="C31" s="56"/>
      <c r="D31" s="56"/>
      <c r="E31" s="56"/>
      <c r="F31" s="7"/>
      <c r="G31" s="109"/>
      <c r="H31" s="110" t="s">
        <v>45</v>
      </c>
      <c r="I31" s="111" t="s">
        <v>1</v>
      </c>
      <c r="J31" s="111" t="s">
        <v>2</v>
      </c>
      <c r="K31" s="111" t="s">
        <v>3</v>
      </c>
      <c r="L31" s="150"/>
      <c r="M31" s="112">
        <v>56.0</v>
      </c>
      <c r="N31" s="74" t="s">
        <v>46</v>
      </c>
      <c r="O31" s="118">
        <v>0.0</v>
      </c>
      <c r="P31" s="119">
        <f>SUMIF(E$10:E$144,"56",D$10:D$144)</f>
        <v>0</v>
      </c>
      <c r="Q31" s="119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66">
        <v>45800.0</v>
      </c>
      <c r="C32" s="56"/>
      <c r="D32" s="56"/>
      <c r="E32" s="56"/>
      <c r="F32" s="7"/>
      <c r="G32" s="112">
        <v>15.0</v>
      </c>
      <c r="H32" s="79" t="s">
        <v>47</v>
      </c>
      <c r="I32" s="145">
        <v>45.0</v>
      </c>
      <c r="J32" s="145">
        <v>45.0</v>
      </c>
      <c r="K32" s="146">
        <f t="shared" ref="K32:K38" si="9">+I32-J32</f>
        <v>0</v>
      </c>
      <c r="L32" s="150"/>
      <c r="M32" s="112">
        <v>57.0</v>
      </c>
      <c r="N32" s="74" t="s">
        <v>48</v>
      </c>
      <c r="O32" s="118">
        <v>0.0</v>
      </c>
      <c r="P32" s="119">
        <f>SUMIF(E$10:E$144,"57",D$10:D$144)</f>
        <v>0</v>
      </c>
      <c r="Q32" s="119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66">
        <v>45801.0</v>
      </c>
      <c r="C33" s="56"/>
      <c r="D33" s="56"/>
      <c r="E33" s="56"/>
      <c r="F33" s="7"/>
      <c r="G33" s="112">
        <v>16.0</v>
      </c>
      <c r="H33" s="79" t="s">
        <v>49</v>
      </c>
      <c r="I33" s="118">
        <v>89.0</v>
      </c>
      <c r="J33" s="118">
        <v>89.0</v>
      </c>
      <c r="K33" s="119">
        <f t="shared" si="9"/>
        <v>0</v>
      </c>
      <c r="L33" s="150"/>
      <c r="M33" s="112">
        <v>58.0</v>
      </c>
      <c r="N33" s="79" t="s">
        <v>50</v>
      </c>
      <c r="O33" s="118">
        <v>0.0</v>
      </c>
      <c r="P33" s="119">
        <f>SUMIF(E$10:E$144,"58",D$10:D$144)</f>
        <v>0</v>
      </c>
      <c r="Q33" s="119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66">
        <v>45802.0</v>
      </c>
      <c r="C34" s="56"/>
      <c r="D34" s="56"/>
      <c r="E34" s="56"/>
      <c r="F34" s="7"/>
      <c r="G34" s="112">
        <v>17.0</v>
      </c>
      <c r="H34" s="79" t="s">
        <v>51</v>
      </c>
      <c r="I34" s="118">
        <v>24.0</v>
      </c>
      <c r="J34" s="118">
        <v>24.0</v>
      </c>
      <c r="K34" s="119">
        <f t="shared" si="9"/>
        <v>0</v>
      </c>
      <c r="L34" s="150"/>
      <c r="M34" s="109"/>
      <c r="N34" s="152" t="s">
        <v>34</v>
      </c>
      <c r="O34" s="123">
        <f t="shared" ref="O34:P34" si="10">SUM(O27:O33)</f>
        <v>140</v>
      </c>
      <c r="P34" s="123">
        <f t="shared" si="10"/>
        <v>0</v>
      </c>
      <c r="Q34" s="123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66">
        <v>45803.0</v>
      </c>
      <c r="C35" s="56"/>
      <c r="D35" s="56"/>
      <c r="E35" s="56"/>
      <c r="F35" s="7"/>
      <c r="G35" s="112">
        <v>18.0</v>
      </c>
      <c r="H35" s="105" t="s">
        <v>52</v>
      </c>
      <c r="I35" s="118">
        <v>21.9</v>
      </c>
      <c r="J35" s="118">
        <v>22.0</v>
      </c>
      <c r="K35" s="119">
        <f t="shared" si="9"/>
        <v>-0.1</v>
      </c>
      <c r="L35" s="150"/>
      <c r="M35" s="158"/>
      <c r="N35" s="98"/>
      <c r="O35" s="98"/>
      <c r="P35" s="98"/>
      <c r="Q35" s="98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66">
        <v>45804.0</v>
      </c>
      <c r="C36" s="56"/>
      <c r="D36" s="56"/>
      <c r="E36" s="56"/>
      <c r="F36" s="7"/>
      <c r="G36" s="112">
        <v>19.0</v>
      </c>
      <c r="H36" s="74" t="s">
        <v>53</v>
      </c>
      <c r="I36" s="118">
        <v>10.9</v>
      </c>
      <c r="J36" s="118">
        <v>11.0</v>
      </c>
      <c r="K36" s="119">
        <f t="shared" si="9"/>
        <v>-0.1</v>
      </c>
      <c r="L36" s="150"/>
      <c r="M36" s="109"/>
      <c r="N36" s="143" t="s">
        <v>54</v>
      </c>
      <c r="O36" s="144" t="s">
        <v>1</v>
      </c>
      <c r="P36" s="111" t="s">
        <v>2</v>
      </c>
      <c r="Q36" s="111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66">
        <v>45805.0</v>
      </c>
      <c r="C37" s="56"/>
      <c r="D37" s="56"/>
      <c r="E37" s="56"/>
      <c r="F37" s="7"/>
      <c r="G37" s="112">
        <v>20.0</v>
      </c>
      <c r="H37" s="74" t="s">
        <v>55</v>
      </c>
      <c r="I37" s="118">
        <v>34.5</v>
      </c>
      <c r="J37" s="118">
        <v>45.0</v>
      </c>
      <c r="K37" s="119">
        <f t="shared" si="9"/>
        <v>-10.5</v>
      </c>
      <c r="L37" s="150"/>
      <c r="M37" s="147">
        <v>60.0</v>
      </c>
      <c r="N37" s="108" t="s">
        <v>56</v>
      </c>
      <c r="O37" s="145">
        <v>450.0</v>
      </c>
      <c r="P37" s="146">
        <f>SUMIF(E$10:E$144,"60",D$10:D$144)</f>
        <v>0</v>
      </c>
      <c r="Q37" s="146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66">
        <v>45806.0</v>
      </c>
      <c r="C38" s="56"/>
      <c r="D38" s="56"/>
      <c r="E38" s="56"/>
      <c r="F38" s="7"/>
      <c r="G38" s="109"/>
      <c r="H38" s="122" t="s">
        <v>34</v>
      </c>
      <c r="I38" s="123">
        <f t="shared" ref="I38:J38" si="11">SUM(I32:I37)</f>
        <v>225.3</v>
      </c>
      <c r="J38" s="123">
        <f t="shared" si="11"/>
        <v>236</v>
      </c>
      <c r="K38" s="123">
        <f t="shared" si="9"/>
        <v>-10.7</v>
      </c>
      <c r="L38" s="150"/>
      <c r="M38" s="112">
        <v>61.0</v>
      </c>
      <c r="N38" s="79" t="s">
        <v>57</v>
      </c>
      <c r="O38" s="118">
        <v>0.0</v>
      </c>
      <c r="P38" s="119">
        <f>SUMIF(E$10:E$144,"61",D$10:D$144)</f>
        <v>0</v>
      </c>
      <c r="Q38" s="119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66">
        <v>45807.0</v>
      </c>
      <c r="C39" s="56"/>
      <c r="D39" s="56"/>
      <c r="E39" s="56"/>
      <c r="F39" s="7"/>
      <c r="G39" s="8"/>
      <c r="H39" s="98"/>
      <c r="I39" s="98"/>
      <c r="J39" s="98"/>
      <c r="K39" s="98"/>
      <c r="L39" s="150"/>
      <c r="M39" s="112">
        <v>62.0</v>
      </c>
      <c r="N39" s="74" t="s">
        <v>58</v>
      </c>
      <c r="O39" s="118">
        <v>120.0</v>
      </c>
      <c r="P39" s="119">
        <f>SUMIF(E$10:E$144,"62",D$10:D$144)</f>
        <v>0</v>
      </c>
      <c r="Q39" s="119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39"/>
      <c r="C40" s="56"/>
      <c r="D40" s="56"/>
      <c r="E40" s="56"/>
      <c r="F40" s="7"/>
      <c r="G40" s="109"/>
      <c r="H40" s="110" t="s">
        <v>59</v>
      </c>
      <c r="I40" s="111" t="s">
        <v>1</v>
      </c>
      <c r="J40" s="111" t="s">
        <v>2</v>
      </c>
      <c r="K40" s="111" t="s">
        <v>3</v>
      </c>
      <c r="L40" s="150"/>
      <c r="M40" s="112">
        <v>63.0</v>
      </c>
      <c r="N40" s="74" t="s">
        <v>60</v>
      </c>
      <c r="O40" s="118">
        <v>148.0</v>
      </c>
      <c r="P40" s="119">
        <f>SUMIF(E$10:E$144,"63",D$10:D$144)</f>
        <v>0</v>
      </c>
      <c r="Q40" s="119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39"/>
      <c r="C41" s="56"/>
      <c r="D41" s="56"/>
      <c r="E41" s="56"/>
      <c r="F41" s="7"/>
      <c r="G41" s="112">
        <v>21.0</v>
      </c>
      <c r="H41" s="79" t="s">
        <v>61</v>
      </c>
      <c r="I41" s="145">
        <v>120.0</v>
      </c>
      <c r="J41" s="146">
        <f>SUMIF(E$10:E$144,"21",D$10:D$144)</f>
        <v>0</v>
      </c>
      <c r="K41" s="146">
        <f t="shared" ref="K41:K51" si="13">+I41-J41</f>
        <v>120</v>
      </c>
      <c r="L41" s="159"/>
      <c r="M41" s="112">
        <v>64.0</v>
      </c>
      <c r="N41" s="79" t="s">
        <v>62</v>
      </c>
      <c r="O41" s="118">
        <v>60.0</v>
      </c>
      <c r="P41" s="119">
        <f>SUMIF(E$10:E$144,"64",D$10:D$144)</f>
        <v>0</v>
      </c>
      <c r="Q41" s="119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39"/>
      <c r="C42" s="56"/>
      <c r="D42" s="56"/>
      <c r="E42" s="56"/>
      <c r="F42" s="7"/>
      <c r="G42" s="112">
        <v>22.0</v>
      </c>
      <c r="H42" s="74" t="s">
        <v>63</v>
      </c>
      <c r="I42" s="118">
        <v>120.0</v>
      </c>
      <c r="J42" s="119">
        <f>SUMIF(E$10:E$144,"22",D$10:D$144)</f>
        <v>0</v>
      </c>
      <c r="K42" s="119">
        <f t="shared" si="13"/>
        <v>120</v>
      </c>
      <c r="L42" s="98"/>
      <c r="M42" s="109"/>
      <c r="N42" s="122" t="s">
        <v>34</v>
      </c>
      <c r="O42" s="123">
        <f t="shared" ref="O42:P42" si="14">SUM(O37:O41)</f>
        <v>778</v>
      </c>
      <c r="P42" s="123">
        <f t="shared" si="14"/>
        <v>0</v>
      </c>
      <c r="Q42" s="123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39"/>
      <c r="C43" s="56"/>
      <c r="D43" s="56"/>
      <c r="E43" s="56"/>
      <c r="F43" s="7"/>
      <c r="G43" s="112">
        <v>23.0</v>
      </c>
      <c r="H43" s="74" t="s">
        <v>64</v>
      </c>
      <c r="I43" s="118">
        <v>100.0</v>
      </c>
      <c r="J43" s="119">
        <f>SUMIF(E$10:E$144,"23",D$10:D$144)</f>
        <v>0</v>
      </c>
      <c r="K43" s="119">
        <f t="shared" si="13"/>
        <v>100</v>
      </c>
      <c r="L43" s="98"/>
      <c r="M43" s="8"/>
      <c r="N43" s="98"/>
      <c r="O43" s="98"/>
      <c r="P43" s="98"/>
      <c r="Q43" s="98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39"/>
      <c r="C44" s="56"/>
      <c r="D44" s="56"/>
      <c r="E44" s="56"/>
      <c r="F44" s="7"/>
      <c r="G44" s="112">
        <v>24.0</v>
      </c>
      <c r="H44" s="79" t="s">
        <v>65</v>
      </c>
      <c r="I44" s="118">
        <v>100.0</v>
      </c>
      <c r="J44" s="119">
        <f>SUMIF(E$10:E$144,"24",D$10:D$144)</f>
        <v>0</v>
      </c>
      <c r="K44" s="119">
        <f t="shared" si="13"/>
        <v>100</v>
      </c>
      <c r="L44" s="98"/>
      <c r="M44" s="109"/>
      <c r="N44" s="160" t="s">
        <v>66</v>
      </c>
      <c r="O44" s="111" t="s">
        <v>1</v>
      </c>
      <c r="P44" s="111" t="s">
        <v>2</v>
      </c>
      <c r="Q44" s="111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39"/>
      <c r="C45" s="56"/>
      <c r="D45" s="56"/>
      <c r="E45" s="56"/>
      <c r="F45" s="7"/>
      <c r="G45" s="112">
        <v>25.0</v>
      </c>
      <c r="H45" s="79" t="s">
        <v>67</v>
      </c>
      <c r="I45" s="118">
        <v>150.0</v>
      </c>
      <c r="J45" s="119">
        <f>SUMIF(E$10:E$144,"25",D$10:D$144)</f>
        <v>0</v>
      </c>
      <c r="K45" s="119">
        <f t="shared" si="13"/>
        <v>150</v>
      </c>
      <c r="L45" s="98"/>
      <c r="M45" s="112">
        <v>70.0</v>
      </c>
      <c r="N45" s="74" t="s">
        <v>68</v>
      </c>
      <c r="O45" s="118">
        <v>0.0</v>
      </c>
      <c r="P45" s="119">
        <f>SUMIF(E$10:E$144,"70",D$10:D$144)</f>
        <v>0</v>
      </c>
      <c r="Q45" s="119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39"/>
      <c r="C46" s="56"/>
      <c r="D46" s="56"/>
      <c r="E46" s="56"/>
      <c r="F46" s="7"/>
      <c r="G46" s="112">
        <v>26.0</v>
      </c>
      <c r="H46" s="79" t="s">
        <v>69</v>
      </c>
      <c r="I46" s="118">
        <v>0.0</v>
      </c>
      <c r="J46" s="119">
        <f>SUMIF(E$10:E$144,"26",D$10:D$144)</f>
        <v>0</v>
      </c>
      <c r="K46" s="119">
        <f t="shared" si="13"/>
        <v>0</v>
      </c>
      <c r="L46" s="98"/>
      <c r="M46" s="112">
        <v>71.0</v>
      </c>
      <c r="N46" s="74" t="s">
        <v>70</v>
      </c>
      <c r="O46" s="118">
        <v>0.0</v>
      </c>
      <c r="P46" s="119">
        <f>SUMIF(E$10:E$144,"71",D$10:D$144)</f>
        <v>0</v>
      </c>
      <c r="Q46" s="119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39"/>
      <c r="C47" s="56"/>
      <c r="D47" s="56"/>
      <c r="E47" s="56"/>
      <c r="F47" s="7"/>
      <c r="G47" s="112">
        <v>27.0</v>
      </c>
      <c r="H47" s="79" t="s">
        <v>71</v>
      </c>
      <c r="I47" s="118">
        <v>89.0</v>
      </c>
      <c r="J47" s="119">
        <f>SUMIF(E$10:E$144,"27",D$10:D$144)</f>
        <v>0</v>
      </c>
      <c r="K47" s="119">
        <f t="shared" si="13"/>
        <v>89</v>
      </c>
      <c r="L47" s="98"/>
      <c r="M47" s="112">
        <v>72.0</v>
      </c>
      <c r="N47" s="74" t="s">
        <v>72</v>
      </c>
      <c r="O47" s="118">
        <v>0.0</v>
      </c>
      <c r="P47" s="119">
        <f>SUMIF(E$10:E$144,"72",D$10:D$144)</f>
        <v>0</v>
      </c>
      <c r="Q47" s="119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39"/>
      <c r="C48" s="56"/>
      <c r="D48" s="56"/>
      <c r="E48" s="56"/>
      <c r="F48" s="7"/>
      <c r="G48" s="112">
        <v>28.0</v>
      </c>
      <c r="H48" s="79" t="s">
        <v>73</v>
      </c>
      <c r="I48" s="118">
        <v>0.0</v>
      </c>
      <c r="J48" s="119">
        <f>SUMIF(E$10:E$144,"28",D$10:D$144)</f>
        <v>0</v>
      </c>
      <c r="K48" s="119">
        <f t="shared" si="13"/>
        <v>0</v>
      </c>
      <c r="L48" s="98"/>
      <c r="M48" s="112">
        <v>73.0</v>
      </c>
      <c r="N48" s="74" t="s">
        <v>74</v>
      </c>
      <c r="O48" s="118">
        <v>0.0</v>
      </c>
      <c r="P48" s="119">
        <f>SUMIF(E$10:E$144,"73",D$10:D$144)</f>
        <v>0</v>
      </c>
      <c r="Q48" s="119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39"/>
      <c r="C49" s="56"/>
      <c r="D49" s="56"/>
      <c r="E49" s="56"/>
      <c r="F49" s="7"/>
      <c r="G49" s="112">
        <v>29.0</v>
      </c>
      <c r="H49" s="79" t="s">
        <v>75</v>
      </c>
      <c r="I49" s="118">
        <v>0.0</v>
      </c>
      <c r="J49" s="119">
        <f>SUMIF(E$10:E$144,"29",D$10:D$144)</f>
        <v>0</v>
      </c>
      <c r="K49" s="119">
        <f t="shared" si="13"/>
        <v>0</v>
      </c>
      <c r="L49" s="98"/>
      <c r="M49" s="112">
        <v>74.0</v>
      </c>
      <c r="N49" s="74" t="s">
        <v>76</v>
      </c>
      <c r="O49" s="118">
        <v>0.0</v>
      </c>
      <c r="P49" s="119">
        <f>SUMIF(E$10:E$144,"74",D$10:D$144)</f>
        <v>0</v>
      </c>
      <c r="Q49" s="119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39"/>
      <c r="C50" s="56"/>
      <c r="D50" s="56"/>
      <c r="E50" s="56"/>
      <c r="F50" s="7"/>
      <c r="G50" s="112">
        <v>30.0</v>
      </c>
      <c r="H50" s="79" t="s">
        <v>77</v>
      </c>
      <c r="I50" s="118">
        <v>0.0</v>
      </c>
      <c r="J50" s="119">
        <f>SUMIF(E$10:E$144,"30",D$10:D$144)</f>
        <v>0</v>
      </c>
      <c r="K50" s="119">
        <f t="shared" si="13"/>
        <v>0</v>
      </c>
      <c r="L50" s="98"/>
      <c r="M50" s="112">
        <v>75.0</v>
      </c>
      <c r="N50" s="79" t="s">
        <v>78</v>
      </c>
      <c r="O50" s="118">
        <v>0.0</v>
      </c>
      <c r="P50" s="119">
        <f>SUMIF(E$10:E$144,"75",D$10:D$144)</f>
        <v>0</v>
      </c>
      <c r="Q50" s="119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39"/>
      <c r="C51" s="56"/>
      <c r="D51" s="56"/>
      <c r="E51" s="56"/>
      <c r="F51" s="7"/>
      <c r="G51" s="109"/>
      <c r="H51" s="122" t="s">
        <v>34</v>
      </c>
      <c r="I51" s="123">
        <f t="shared" ref="I51:J51" si="16">SUM(I41:I50)</f>
        <v>679</v>
      </c>
      <c r="J51" s="123">
        <f t="shared" si="16"/>
        <v>0</v>
      </c>
      <c r="K51" s="123">
        <f t="shared" si="13"/>
        <v>679</v>
      </c>
      <c r="L51" s="98"/>
      <c r="M51" s="112">
        <v>76.0</v>
      </c>
      <c r="N51" s="79" t="s">
        <v>79</v>
      </c>
      <c r="O51" s="118">
        <v>0.0</v>
      </c>
      <c r="P51" s="119">
        <f>SUMIF(E$10:E$144,"76",D$10:D$144)</f>
        <v>0</v>
      </c>
      <c r="Q51" s="119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39"/>
      <c r="C52" s="56"/>
      <c r="D52" s="56"/>
      <c r="E52" s="56"/>
      <c r="F52" s="7"/>
      <c r="G52" s="8"/>
      <c r="H52" s="98"/>
      <c r="I52" s="98"/>
      <c r="J52" s="98"/>
      <c r="K52" s="98"/>
      <c r="L52" s="98"/>
      <c r="M52" s="109"/>
      <c r="N52" s="122" t="s">
        <v>34</v>
      </c>
      <c r="O52" s="123">
        <f t="shared" ref="O52:P52" si="17">SUM(O45:O51)</f>
        <v>0</v>
      </c>
      <c r="P52" s="123">
        <f t="shared" si="17"/>
        <v>0</v>
      </c>
      <c r="Q52" s="123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39"/>
      <c r="C53" s="56"/>
      <c r="D53" s="56"/>
      <c r="E53" s="56"/>
      <c r="F53" s="7"/>
      <c r="G53" s="109"/>
      <c r="H53" s="110" t="s">
        <v>80</v>
      </c>
      <c r="I53" s="111" t="s">
        <v>1</v>
      </c>
      <c r="J53" s="111" t="s">
        <v>2</v>
      </c>
      <c r="K53" s="111" t="s">
        <v>3</v>
      </c>
      <c r="L53" s="98"/>
      <c r="M53" s="8"/>
      <c r="N53" s="98"/>
      <c r="O53" s="98"/>
      <c r="P53" s="98"/>
      <c r="Q53" s="98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39"/>
      <c r="C54" s="56"/>
      <c r="D54" s="56"/>
      <c r="E54" s="56"/>
      <c r="F54" s="7"/>
      <c r="G54" s="112">
        <v>31.0</v>
      </c>
      <c r="H54" s="79" t="s">
        <v>81</v>
      </c>
      <c r="I54" s="118">
        <v>39.0</v>
      </c>
      <c r="J54" s="119">
        <f>SUMIF(E$10:E$144,"31",D$10:D$144)</f>
        <v>0</v>
      </c>
      <c r="K54" s="119">
        <f t="shared" ref="K54:K57" si="18">+I54-J54</f>
        <v>39</v>
      </c>
      <c r="L54" s="98"/>
      <c r="M54" s="109"/>
      <c r="N54" s="110" t="s">
        <v>105</v>
      </c>
      <c r="O54" s="111" t="s">
        <v>1</v>
      </c>
      <c r="P54" s="111" t="s">
        <v>2</v>
      </c>
      <c r="Q54" s="111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12">
        <v>32.0</v>
      </c>
      <c r="H55" s="74" t="s">
        <v>83</v>
      </c>
      <c r="I55" s="118">
        <v>0.0</v>
      </c>
      <c r="J55" s="119">
        <f>SUMIF(E$10:E$144,"32",D$10:D$144)</f>
        <v>0</v>
      </c>
      <c r="K55" s="119">
        <f t="shared" si="18"/>
        <v>0</v>
      </c>
      <c r="L55" s="98"/>
      <c r="M55" s="112">
        <v>80.0</v>
      </c>
      <c r="N55" s="79" t="s">
        <v>106</v>
      </c>
      <c r="O55" s="145">
        <v>89.0</v>
      </c>
      <c r="P55" s="146">
        <f>SUMIF(E$10:E$144,"80",D$10:D$144)</f>
        <v>0</v>
      </c>
      <c r="Q55" s="146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12">
        <v>33.0</v>
      </c>
      <c r="H56" s="79" t="s">
        <v>85</v>
      </c>
      <c r="I56" s="118">
        <v>0.0</v>
      </c>
      <c r="J56" s="119">
        <f>SUMIF(E$10:E$144,"33",D$10:D$144)</f>
        <v>0</v>
      </c>
      <c r="K56" s="119">
        <f t="shared" si="18"/>
        <v>0</v>
      </c>
      <c r="L56" s="98"/>
      <c r="M56" s="112">
        <v>81.0</v>
      </c>
      <c r="N56" s="79" t="s">
        <v>107</v>
      </c>
      <c r="O56" s="118">
        <v>0.0</v>
      </c>
      <c r="P56" s="119">
        <f>SUMIF(E$10:E$144,"81",D$10:D$144)</f>
        <v>0</v>
      </c>
      <c r="Q56" s="119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09"/>
      <c r="H57" s="122" t="s">
        <v>34</v>
      </c>
      <c r="I57" s="123">
        <f t="shared" ref="I57:J57" si="20">SUM(I54:I56)</f>
        <v>39</v>
      </c>
      <c r="J57" s="123">
        <f t="shared" si="20"/>
        <v>0</v>
      </c>
      <c r="K57" s="123">
        <f t="shared" si="18"/>
        <v>39</v>
      </c>
      <c r="L57" s="98"/>
      <c r="M57" s="112">
        <v>82.0</v>
      </c>
      <c r="N57" s="74" t="s">
        <v>108</v>
      </c>
      <c r="O57" s="118">
        <v>140.0</v>
      </c>
      <c r="P57" s="119">
        <f>SUMIF(E$10:E$144,"82",D$10:D$144)</f>
        <v>0</v>
      </c>
      <c r="Q57" s="119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8"/>
      <c r="H58" s="98"/>
      <c r="I58" s="98"/>
      <c r="J58" s="98"/>
      <c r="K58" s="98"/>
      <c r="L58" s="98"/>
      <c r="M58" s="112">
        <v>83.0</v>
      </c>
      <c r="N58" s="79" t="s">
        <v>109</v>
      </c>
      <c r="O58" s="118">
        <v>0.0</v>
      </c>
      <c r="P58" s="119">
        <f>SUMIF(E$10:E$144,"83",D$10:D$144)</f>
        <v>0</v>
      </c>
      <c r="Q58" s="119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09"/>
      <c r="H59" s="160" t="s">
        <v>110</v>
      </c>
      <c r="I59" s="111" t="s">
        <v>1</v>
      </c>
      <c r="J59" s="161" t="s">
        <v>90</v>
      </c>
      <c r="K59" s="161" t="s">
        <v>91</v>
      </c>
      <c r="L59" s="98"/>
      <c r="M59" s="109"/>
      <c r="N59" s="122" t="s">
        <v>34</v>
      </c>
      <c r="O59" s="123">
        <f t="shared" ref="O59:P59" si="21">SUM(O55:O58)</f>
        <v>229</v>
      </c>
      <c r="P59" s="123">
        <f t="shared" si="21"/>
        <v>0</v>
      </c>
      <c r="Q59" s="123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12">
        <v>34.0</v>
      </c>
      <c r="H60" s="74" t="s">
        <v>93</v>
      </c>
      <c r="I60" s="145">
        <v>1200.0</v>
      </c>
      <c r="J60" s="146">
        <f>SUMIF(E$10:E$144,"34",D$10:D$144)</f>
        <v>0</v>
      </c>
      <c r="K60" s="146">
        <f>+I60-O620</f>
        <v>1200</v>
      </c>
      <c r="L60" s="98"/>
      <c r="M60" s="8"/>
      <c r="N60" s="98"/>
      <c r="O60" s="98"/>
      <c r="P60" s="98"/>
      <c r="Q60" s="98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12">
        <v>35.0</v>
      </c>
      <c r="H61" s="74" t="s">
        <v>94</v>
      </c>
      <c r="I61" s="118">
        <v>1200.0</v>
      </c>
      <c r="J61" s="119">
        <f>SUMIF(E$10:E$144,"35",D$10:D$144)</f>
        <v>0</v>
      </c>
      <c r="K61" s="119">
        <f t="shared" ref="K61:K64" si="22">+I61-J61</f>
        <v>1200</v>
      </c>
      <c r="L61" s="98"/>
      <c r="M61" s="109"/>
      <c r="N61" s="110" t="s">
        <v>111</v>
      </c>
      <c r="O61" s="111" t="s">
        <v>1</v>
      </c>
      <c r="P61" s="111" t="s">
        <v>2</v>
      </c>
      <c r="Q61" s="111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12">
        <v>36.0</v>
      </c>
      <c r="H62" s="74" t="s">
        <v>96</v>
      </c>
      <c r="I62" s="118">
        <v>1200.0</v>
      </c>
      <c r="J62" s="119">
        <f>SUMIF(E$10:E$144,"36",D$10:D$144)</f>
        <v>0</v>
      </c>
      <c r="K62" s="119">
        <f t="shared" si="22"/>
        <v>1200</v>
      </c>
      <c r="L62" s="98"/>
      <c r="M62" s="112">
        <v>90.0</v>
      </c>
      <c r="N62" s="74" t="s">
        <v>97</v>
      </c>
      <c r="O62" s="118">
        <v>0.0</v>
      </c>
      <c r="P62" s="119">
        <f>SUMIF(E$10:E$144,"90",D$10:D$144)</f>
        <v>0</v>
      </c>
      <c r="Q62" s="119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12">
        <v>37.0</v>
      </c>
      <c r="H63" s="74" t="s">
        <v>100</v>
      </c>
      <c r="I63" s="118">
        <v>1200.0</v>
      </c>
      <c r="J63" s="119">
        <f>SUMIF(E$10:E$144,"37",D$10:D$144)</f>
        <v>0</v>
      </c>
      <c r="K63" s="119">
        <f t="shared" si="22"/>
        <v>1200</v>
      </c>
      <c r="L63" s="98"/>
      <c r="M63" s="112">
        <v>91.0</v>
      </c>
      <c r="N63" s="74" t="s">
        <v>101</v>
      </c>
      <c r="O63" s="118">
        <v>0.0</v>
      </c>
      <c r="P63" s="119">
        <f>SUMIF(E$10:E$144,"91",D$10:D$144)</f>
        <v>0</v>
      </c>
      <c r="Q63" s="119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7"/>
      <c r="G64" s="109"/>
      <c r="H64" s="122" t="s">
        <v>34</v>
      </c>
      <c r="I64" s="123">
        <f t="shared" ref="I64:J64" si="24">SUM(I60:I63)</f>
        <v>4800</v>
      </c>
      <c r="J64" s="123">
        <f t="shared" si="24"/>
        <v>0</v>
      </c>
      <c r="K64" s="123">
        <f t="shared" si="22"/>
        <v>4800</v>
      </c>
      <c r="L64" s="98"/>
      <c r="M64" s="112">
        <v>92.0</v>
      </c>
      <c r="N64" s="79" t="s">
        <v>102</v>
      </c>
      <c r="O64" s="118">
        <v>0.0</v>
      </c>
      <c r="P64" s="119">
        <f>SUMIF(E$10:E$144,"92",D$10:D$144)</f>
        <v>0</v>
      </c>
      <c r="Q64" s="119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7"/>
      <c r="G65" s="98"/>
      <c r="H65" s="98"/>
      <c r="I65" s="98"/>
      <c r="J65" s="98"/>
      <c r="K65" s="98"/>
      <c r="L65" s="98"/>
      <c r="M65" s="109"/>
      <c r="N65" s="122" t="s">
        <v>34</v>
      </c>
      <c r="O65" s="123">
        <f t="shared" ref="O65:P65" si="25">SUM(O62:O64)</f>
        <v>0</v>
      </c>
      <c r="P65" s="123">
        <f t="shared" si="25"/>
        <v>0</v>
      </c>
      <c r="Q65" s="123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8:J8"/>
    <mergeCell ref="K8:M8"/>
    <mergeCell ref="A1:Q1"/>
    <mergeCell ref="I3:J3"/>
    <mergeCell ref="K3:M3"/>
    <mergeCell ref="B6:E7"/>
    <mergeCell ref="B8:B9"/>
    <mergeCell ref="C8:C9"/>
    <mergeCell ref="E8:E9"/>
  </mergeCells>
  <conditionalFormatting sqref="E10:E95">
    <cfRule type="cellIs" dxfId="0" priority="1" operator="notBetween">
      <formula>0</formula>
      <formula>100</formula>
    </cfRule>
  </conditionalFormatting>
  <conditionalFormatting sqref="E96:E97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167" t="s">
        <v>113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4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SUM(D10:D112)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39">
        <v>45809.0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45810.0</v>
      </c>
      <c r="C11" s="56"/>
      <c r="D11" s="56"/>
      <c r="E11" s="56"/>
      <c r="F11" s="7"/>
      <c r="G11" s="140"/>
      <c r="H11" s="141" t="s">
        <v>14</v>
      </c>
      <c r="I11" s="111" t="s">
        <v>1</v>
      </c>
      <c r="J11" s="111" t="s">
        <v>2</v>
      </c>
      <c r="K11" s="111" t="s">
        <v>3</v>
      </c>
      <c r="L11" s="142"/>
      <c r="M11" s="109"/>
      <c r="N11" s="143" t="s">
        <v>15</v>
      </c>
      <c r="O11" s="144" t="s">
        <v>1</v>
      </c>
      <c r="P11" s="111" t="s">
        <v>2</v>
      </c>
      <c r="Q11" s="111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45811.0</v>
      </c>
      <c r="C12" s="56"/>
      <c r="D12" s="56"/>
      <c r="E12" s="56"/>
      <c r="F12" s="7"/>
      <c r="G12" s="112">
        <v>1.0</v>
      </c>
      <c r="H12" s="67" t="s">
        <v>16</v>
      </c>
      <c r="I12" s="145">
        <v>150.0</v>
      </c>
      <c r="J12" s="146">
        <f>SUMIF(E$10:E$144,"1",D$10:D$144)</f>
        <v>0</v>
      </c>
      <c r="K12" s="146">
        <f t="shared" ref="K12:K22" si="2">+I12-J12</f>
        <v>150</v>
      </c>
      <c r="L12" s="106"/>
      <c r="M12" s="147">
        <v>40.0</v>
      </c>
      <c r="N12" s="67" t="s">
        <v>17</v>
      </c>
      <c r="O12" s="145">
        <v>58.0</v>
      </c>
      <c r="P12" s="145">
        <v>45.0</v>
      </c>
      <c r="Q12" s="146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45812.0</v>
      </c>
      <c r="C13" s="56"/>
      <c r="D13" s="56"/>
      <c r="E13" s="56"/>
      <c r="F13" s="7"/>
      <c r="G13" s="112">
        <v>2.0</v>
      </c>
      <c r="H13" s="74" t="s">
        <v>18</v>
      </c>
      <c r="I13" s="145">
        <v>1200.0</v>
      </c>
      <c r="J13" s="119">
        <f>SUMIF(E$10:E$144,"2",D$10:D$144)</f>
        <v>0</v>
      </c>
      <c r="K13" s="119">
        <f t="shared" si="2"/>
        <v>1200</v>
      </c>
      <c r="L13" s="106"/>
      <c r="M13" s="112">
        <v>41.0</v>
      </c>
      <c r="N13" s="74" t="s">
        <v>19</v>
      </c>
      <c r="O13" s="118">
        <v>68.0</v>
      </c>
      <c r="P13" s="119">
        <f>SUMIF(E$10:E$144,"41",D$10:D$144)</f>
        <v>0</v>
      </c>
      <c r="Q13" s="119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45813.0</v>
      </c>
      <c r="C14" s="56"/>
      <c r="D14" s="56"/>
      <c r="E14" s="56"/>
      <c r="F14" s="7"/>
      <c r="G14" s="112">
        <v>3.0</v>
      </c>
      <c r="H14" s="74" t="s">
        <v>20</v>
      </c>
      <c r="I14" s="145">
        <v>250.0</v>
      </c>
      <c r="J14" s="119">
        <f>SUMIF(E$10:E$144,"3",D$10:D$144)</f>
        <v>0</v>
      </c>
      <c r="K14" s="119">
        <f t="shared" si="2"/>
        <v>250</v>
      </c>
      <c r="L14" s="106"/>
      <c r="M14" s="112">
        <v>42.0</v>
      </c>
      <c r="N14" s="79" t="s">
        <v>21</v>
      </c>
      <c r="O14" s="118">
        <v>440.0</v>
      </c>
      <c r="P14" s="118">
        <v>0.0</v>
      </c>
      <c r="Q14" s="119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45814.0</v>
      </c>
      <c r="C15" s="56"/>
      <c r="D15" s="56"/>
      <c r="E15" s="56"/>
      <c r="F15" s="7"/>
      <c r="G15" s="112">
        <v>4.0</v>
      </c>
      <c r="H15" s="74" t="s">
        <v>22</v>
      </c>
      <c r="I15" s="118">
        <v>1200.0</v>
      </c>
      <c r="J15" s="118">
        <v>1400.0</v>
      </c>
      <c r="K15" s="119">
        <f t="shared" si="2"/>
        <v>-200</v>
      </c>
      <c r="L15" s="106"/>
      <c r="M15" s="112">
        <v>43.0</v>
      </c>
      <c r="N15" s="74" t="s">
        <v>23</v>
      </c>
      <c r="O15" s="118">
        <v>240.0</v>
      </c>
      <c r="P15" s="118">
        <v>143.0</v>
      </c>
      <c r="Q15" s="119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45815.0</v>
      </c>
      <c r="C16" s="56"/>
      <c r="D16" s="56"/>
      <c r="E16" s="56"/>
      <c r="F16" s="7"/>
      <c r="G16" s="112">
        <v>5.0</v>
      </c>
      <c r="H16" s="74" t="s">
        <v>24</v>
      </c>
      <c r="I16" s="118">
        <v>120.0</v>
      </c>
      <c r="J16" s="119">
        <f>SUMIF(E$10:E$144,"5",D$10:D$144)</f>
        <v>0</v>
      </c>
      <c r="K16" s="119">
        <f t="shared" si="2"/>
        <v>120</v>
      </c>
      <c r="L16" s="106"/>
      <c r="M16" s="112">
        <v>44.0</v>
      </c>
      <c r="N16" s="74" t="s">
        <v>25</v>
      </c>
      <c r="O16" s="118">
        <v>110.0</v>
      </c>
      <c r="P16" s="118">
        <v>240.0</v>
      </c>
      <c r="Q16" s="119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45816.0</v>
      </c>
      <c r="C17" s="56"/>
      <c r="D17" s="56"/>
      <c r="E17" s="56"/>
      <c r="F17" s="7"/>
      <c r="G17" s="112">
        <v>6.0</v>
      </c>
      <c r="H17" s="79" t="s">
        <v>26</v>
      </c>
      <c r="I17" s="118">
        <v>150.0</v>
      </c>
      <c r="J17" s="118">
        <v>150.0</v>
      </c>
      <c r="K17" s="119">
        <f t="shared" si="2"/>
        <v>0</v>
      </c>
      <c r="L17" s="106"/>
      <c r="M17" s="112">
        <v>45.0</v>
      </c>
      <c r="N17" s="74" t="s">
        <v>27</v>
      </c>
      <c r="O17" s="118">
        <v>0.0</v>
      </c>
      <c r="P17" s="119">
        <f>SUMIF(E$10:E$144,"45",D$10:D$144)</f>
        <v>0</v>
      </c>
      <c r="Q17" s="119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45817.0</v>
      </c>
      <c r="C18" s="56"/>
      <c r="D18" s="56"/>
      <c r="E18" s="56"/>
      <c r="F18" s="7"/>
      <c r="G18" s="112">
        <v>7.0</v>
      </c>
      <c r="H18" s="79" t="s">
        <v>28</v>
      </c>
      <c r="I18" s="118">
        <v>77.0</v>
      </c>
      <c r="J18" s="118">
        <v>77.0</v>
      </c>
      <c r="K18" s="119">
        <f t="shared" si="2"/>
        <v>0</v>
      </c>
      <c r="L18" s="106"/>
      <c r="M18" s="112">
        <v>46.0</v>
      </c>
      <c r="N18" s="74" t="s">
        <v>29</v>
      </c>
      <c r="O18" s="118">
        <v>0.0</v>
      </c>
      <c r="P18" s="119">
        <f>SUMIF(E$10:E$144,"46",D$10:D$144)</f>
        <v>0</v>
      </c>
      <c r="Q18" s="119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45818.0</v>
      </c>
      <c r="C19" s="56"/>
      <c r="D19" s="56"/>
      <c r="E19" s="56"/>
      <c r="F19" s="7"/>
      <c r="G19" s="112">
        <v>8.0</v>
      </c>
      <c r="H19" s="79" t="s">
        <v>30</v>
      </c>
      <c r="I19" s="118">
        <v>55.0</v>
      </c>
      <c r="J19" s="118">
        <v>55.0</v>
      </c>
      <c r="K19" s="119">
        <f t="shared" si="2"/>
        <v>0</v>
      </c>
      <c r="L19" s="106"/>
      <c r="M19" s="112">
        <v>47.0</v>
      </c>
      <c r="O19" s="118">
        <v>0.0</v>
      </c>
      <c r="P19" s="119">
        <f>SUMIF(E$10:E$144,"47",D$10:D$144)</f>
        <v>0</v>
      </c>
      <c r="Q19" s="119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45819.0</v>
      </c>
      <c r="C20" s="56"/>
      <c r="D20" s="56"/>
      <c r="E20" s="56"/>
      <c r="F20" s="7"/>
      <c r="G20" s="112">
        <v>9.0</v>
      </c>
      <c r="H20" s="74" t="s">
        <v>32</v>
      </c>
      <c r="I20" s="118">
        <v>175.0</v>
      </c>
      <c r="J20" s="118">
        <v>175.0</v>
      </c>
      <c r="K20" s="119">
        <f t="shared" si="2"/>
        <v>0</v>
      </c>
      <c r="L20" s="106"/>
      <c r="M20" s="112">
        <v>48.0</v>
      </c>
      <c r="O20" s="118">
        <v>0.0</v>
      </c>
      <c r="P20" s="119">
        <f>SUMIF(E$10:E$144,"48",D$10:D$144)</f>
        <v>0</v>
      </c>
      <c r="Q20" s="119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45820.0</v>
      </c>
      <c r="C21" s="56"/>
      <c r="D21" s="56"/>
      <c r="E21" s="56"/>
      <c r="F21" s="7"/>
      <c r="G21" s="148">
        <v>10.0</v>
      </c>
      <c r="H21" s="81" t="s">
        <v>33</v>
      </c>
      <c r="I21" s="149"/>
      <c r="J21" s="149">
        <f>SUMIF(E$10:E$144,"10",D$10:D$144)</f>
        <v>0</v>
      </c>
      <c r="K21" s="149">
        <f t="shared" si="2"/>
        <v>0</v>
      </c>
      <c r="L21" s="106"/>
      <c r="M21" s="112">
        <v>49.0</v>
      </c>
      <c r="O21" s="118">
        <v>0.0</v>
      </c>
      <c r="P21" s="118">
        <v>0.0</v>
      </c>
      <c r="Q21" s="119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45821.0</v>
      </c>
      <c r="C22" s="56"/>
      <c r="D22" s="56"/>
      <c r="E22" s="56"/>
      <c r="F22" s="7"/>
      <c r="G22" s="109"/>
      <c r="H22" s="122" t="s">
        <v>34</v>
      </c>
      <c r="I22" s="123">
        <f t="shared" ref="I22:J22" si="4">SUM(I12:I21)</f>
        <v>3377</v>
      </c>
      <c r="J22" s="123">
        <f t="shared" si="4"/>
        <v>1857</v>
      </c>
      <c r="K22" s="123">
        <f t="shared" si="2"/>
        <v>1520</v>
      </c>
      <c r="L22" s="150"/>
      <c r="M22" s="112">
        <v>50.0</v>
      </c>
      <c r="O22" s="118">
        <v>0.0</v>
      </c>
      <c r="P22" s="118">
        <v>0.0</v>
      </c>
      <c r="Q22" s="119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45822.0</v>
      </c>
      <c r="C23" s="56"/>
      <c r="D23" s="56"/>
      <c r="E23" s="56"/>
      <c r="F23" s="7"/>
      <c r="G23" s="8"/>
      <c r="H23" s="151"/>
      <c r="I23" s="142"/>
      <c r="J23" s="142"/>
      <c r="K23" s="142"/>
      <c r="L23" s="150"/>
      <c r="M23" s="112">
        <v>51.0</v>
      </c>
      <c r="N23" s="79" t="s">
        <v>104</v>
      </c>
      <c r="O23" s="118">
        <v>0.0</v>
      </c>
      <c r="P23" s="119">
        <f>SUMIF(E$10:E$144,"51",D$10:D$144)</f>
        <v>0</v>
      </c>
      <c r="Q23" s="119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45823.0</v>
      </c>
      <c r="C24" s="56"/>
      <c r="D24" s="56"/>
      <c r="E24" s="56"/>
      <c r="F24" s="7"/>
      <c r="G24" s="109"/>
      <c r="H24" s="110" t="s">
        <v>35</v>
      </c>
      <c r="I24" s="111" t="s">
        <v>1</v>
      </c>
      <c r="J24" s="111" t="s">
        <v>2</v>
      </c>
      <c r="K24" s="111" t="s">
        <v>3</v>
      </c>
      <c r="L24" s="150"/>
      <c r="M24" s="109"/>
      <c r="N24" s="152" t="s">
        <v>34</v>
      </c>
      <c r="O24" s="123">
        <f t="shared" ref="O24:P24" si="5">SUM(O12:O23)</f>
        <v>916</v>
      </c>
      <c r="P24" s="123">
        <f t="shared" si="5"/>
        <v>428</v>
      </c>
      <c r="Q24" s="123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45824.0</v>
      </c>
      <c r="C25" s="56"/>
      <c r="D25" s="56"/>
      <c r="E25" s="56"/>
      <c r="F25" s="7"/>
      <c r="G25" s="112">
        <v>11.0</v>
      </c>
      <c r="H25" s="79" t="s">
        <v>36</v>
      </c>
      <c r="I25" s="145">
        <v>450.0</v>
      </c>
      <c r="J25" s="145">
        <v>450.0</v>
      </c>
      <c r="K25" s="146">
        <f t="shared" ref="K25:K29" si="6">+I25-J25</f>
        <v>0</v>
      </c>
      <c r="L25" s="91"/>
      <c r="M25" s="153"/>
      <c r="N25" s="98"/>
      <c r="O25" s="98"/>
      <c r="P25" s="98"/>
      <c r="Q25" s="98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45825.0</v>
      </c>
      <c r="C26" s="56"/>
      <c r="D26" s="56"/>
      <c r="E26" s="56"/>
      <c r="F26" s="7"/>
      <c r="G26" s="112">
        <v>12.0</v>
      </c>
      <c r="H26" s="79" t="s">
        <v>37</v>
      </c>
      <c r="I26" s="118">
        <v>140.0</v>
      </c>
      <c r="J26" s="118">
        <v>140.0</v>
      </c>
      <c r="K26" s="119">
        <f t="shared" si="6"/>
        <v>0</v>
      </c>
      <c r="L26" s="91"/>
      <c r="M26" s="109"/>
      <c r="N26" s="154" t="s">
        <v>38</v>
      </c>
      <c r="O26" s="111" t="s">
        <v>1</v>
      </c>
      <c r="P26" s="111" t="s">
        <v>2</v>
      </c>
      <c r="Q26" s="111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45826.0</v>
      </c>
      <c r="C27" s="56"/>
      <c r="D27" s="56"/>
      <c r="E27" s="56"/>
      <c r="F27" s="7"/>
      <c r="G27" s="112">
        <v>13.0</v>
      </c>
      <c r="H27" s="74" t="s">
        <v>39</v>
      </c>
      <c r="I27" s="118">
        <v>100.0</v>
      </c>
      <c r="J27" s="118">
        <v>250.0</v>
      </c>
      <c r="K27" s="119">
        <f t="shared" si="6"/>
        <v>-150</v>
      </c>
      <c r="L27" s="91"/>
      <c r="M27" s="155">
        <v>52.0</v>
      </c>
      <c r="N27" s="79" t="s">
        <v>40</v>
      </c>
      <c r="O27" s="145">
        <v>0.0</v>
      </c>
      <c r="P27" s="146">
        <f>SUMIF(E$10:E$144,"52",D$10:D$144)</f>
        <v>0</v>
      </c>
      <c r="Q27" s="146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45827.0</v>
      </c>
      <c r="C28" s="56"/>
      <c r="D28" s="56"/>
      <c r="E28" s="56"/>
      <c r="F28" s="7"/>
      <c r="G28" s="112">
        <v>14.0</v>
      </c>
      <c r="H28" s="74" t="s">
        <v>41</v>
      </c>
      <c r="I28" s="74">
        <v>140.0</v>
      </c>
      <c r="J28" s="119">
        <f>SUMIF(E$10:E$144,"14",D$10:D$144)</f>
        <v>0</v>
      </c>
      <c r="K28" s="119">
        <f t="shared" si="6"/>
        <v>140</v>
      </c>
      <c r="L28" s="91"/>
      <c r="M28" s="156">
        <v>53.0</v>
      </c>
      <c r="N28" s="79" t="s">
        <v>42</v>
      </c>
      <c r="O28" s="118">
        <v>0.0</v>
      </c>
      <c r="P28" s="119">
        <f>SUMIF(E$10:E$144,"53",D$10:D$144)</f>
        <v>0</v>
      </c>
      <c r="Q28" s="119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45828.0</v>
      </c>
      <c r="C29" s="56"/>
      <c r="D29" s="56"/>
      <c r="E29" s="56"/>
      <c r="F29" s="7"/>
      <c r="G29" s="109"/>
      <c r="H29" s="122" t="s">
        <v>34</v>
      </c>
      <c r="I29" s="123">
        <f t="shared" ref="I29:J29" si="8">SUM(I25:I28)</f>
        <v>830</v>
      </c>
      <c r="J29" s="123">
        <f t="shared" si="8"/>
        <v>840</v>
      </c>
      <c r="K29" s="123">
        <f t="shared" si="6"/>
        <v>-10</v>
      </c>
      <c r="L29" s="157"/>
      <c r="M29" s="147">
        <v>54.0</v>
      </c>
      <c r="N29" s="74" t="s">
        <v>43</v>
      </c>
      <c r="O29" s="118">
        <v>0.0</v>
      </c>
      <c r="P29" s="119">
        <f>SUMIF(E$10:E$144,"54",D$10:D$144)</f>
        <v>0</v>
      </c>
      <c r="Q29" s="119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45829.0</v>
      </c>
      <c r="C30" s="56"/>
      <c r="D30" s="56"/>
      <c r="E30" s="56"/>
      <c r="F30" s="7"/>
      <c r="G30" s="8"/>
      <c r="H30" s="106"/>
      <c r="I30" s="150"/>
      <c r="J30" s="150"/>
      <c r="K30" s="150"/>
      <c r="L30" s="142"/>
      <c r="M30" s="112">
        <v>55.0</v>
      </c>
      <c r="N30" s="79" t="s">
        <v>44</v>
      </c>
      <c r="O30" s="118">
        <v>140.0</v>
      </c>
      <c r="P30" s="119">
        <f>SUMIF(E$10:E$144,"55",D$10:D$144)</f>
        <v>0</v>
      </c>
      <c r="Q30" s="119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45830.0</v>
      </c>
      <c r="C31" s="56"/>
      <c r="D31" s="56"/>
      <c r="E31" s="56"/>
      <c r="F31" s="7"/>
      <c r="G31" s="109"/>
      <c r="H31" s="110" t="s">
        <v>45</v>
      </c>
      <c r="I31" s="111" t="s">
        <v>1</v>
      </c>
      <c r="J31" s="111" t="s">
        <v>2</v>
      </c>
      <c r="K31" s="111" t="s">
        <v>3</v>
      </c>
      <c r="L31" s="150"/>
      <c r="M31" s="112">
        <v>56.0</v>
      </c>
      <c r="N31" s="74" t="s">
        <v>46</v>
      </c>
      <c r="O31" s="118">
        <v>0.0</v>
      </c>
      <c r="P31" s="119">
        <f>SUMIF(E$10:E$144,"56",D$10:D$144)</f>
        <v>0</v>
      </c>
      <c r="Q31" s="119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45831.0</v>
      </c>
      <c r="C32" s="56"/>
      <c r="D32" s="56"/>
      <c r="E32" s="56"/>
      <c r="F32" s="7"/>
      <c r="G32" s="112">
        <v>15.0</v>
      </c>
      <c r="H32" s="79" t="s">
        <v>47</v>
      </c>
      <c r="I32" s="145">
        <v>45.0</v>
      </c>
      <c r="J32" s="145">
        <v>45.0</v>
      </c>
      <c r="K32" s="146">
        <f t="shared" ref="K32:K38" si="9">+I32-J32</f>
        <v>0</v>
      </c>
      <c r="L32" s="150"/>
      <c r="M32" s="112">
        <v>57.0</v>
      </c>
      <c r="N32" s="74" t="s">
        <v>48</v>
      </c>
      <c r="O32" s="118">
        <v>0.0</v>
      </c>
      <c r="P32" s="119">
        <f>SUMIF(E$10:E$144,"57",D$10:D$144)</f>
        <v>0</v>
      </c>
      <c r="Q32" s="119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45832.0</v>
      </c>
      <c r="C33" s="56"/>
      <c r="D33" s="56"/>
      <c r="E33" s="56"/>
      <c r="F33" s="7"/>
      <c r="G33" s="112">
        <v>16.0</v>
      </c>
      <c r="H33" s="79" t="s">
        <v>49</v>
      </c>
      <c r="I33" s="118">
        <v>89.0</v>
      </c>
      <c r="J33" s="118">
        <v>89.0</v>
      </c>
      <c r="K33" s="119">
        <f t="shared" si="9"/>
        <v>0</v>
      </c>
      <c r="L33" s="150"/>
      <c r="M33" s="112">
        <v>58.0</v>
      </c>
      <c r="N33" s="79" t="s">
        <v>50</v>
      </c>
      <c r="O33" s="118">
        <v>0.0</v>
      </c>
      <c r="P33" s="119">
        <f>SUMIF(E$10:E$144,"58",D$10:D$144)</f>
        <v>0</v>
      </c>
      <c r="Q33" s="119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45833.0</v>
      </c>
      <c r="C34" s="56"/>
      <c r="D34" s="56"/>
      <c r="E34" s="56"/>
      <c r="F34" s="7"/>
      <c r="G34" s="112">
        <v>17.0</v>
      </c>
      <c r="H34" s="79" t="s">
        <v>51</v>
      </c>
      <c r="I34" s="118">
        <v>24.0</v>
      </c>
      <c r="J34" s="118">
        <v>24.0</v>
      </c>
      <c r="K34" s="119">
        <f t="shared" si="9"/>
        <v>0</v>
      </c>
      <c r="L34" s="150"/>
      <c r="M34" s="109"/>
      <c r="N34" s="152" t="s">
        <v>34</v>
      </c>
      <c r="O34" s="123">
        <f t="shared" ref="O34:P34" si="10">SUM(O27:O33)</f>
        <v>140</v>
      </c>
      <c r="P34" s="123">
        <f t="shared" si="10"/>
        <v>0</v>
      </c>
      <c r="Q34" s="123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39">
        <v>45834.0</v>
      </c>
      <c r="C35" s="56"/>
      <c r="D35" s="56"/>
      <c r="E35" s="56"/>
      <c r="F35" s="7"/>
      <c r="G35" s="112">
        <v>18.0</v>
      </c>
      <c r="H35" s="105" t="s">
        <v>52</v>
      </c>
      <c r="I35" s="118">
        <v>21.9</v>
      </c>
      <c r="J35" s="118">
        <v>22.0</v>
      </c>
      <c r="K35" s="119">
        <f t="shared" si="9"/>
        <v>-0.1</v>
      </c>
      <c r="L35" s="150"/>
      <c r="M35" s="158"/>
      <c r="N35" s="98"/>
      <c r="O35" s="98"/>
      <c r="P35" s="98"/>
      <c r="Q35" s="98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39">
        <v>45835.0</v>
      </c>
      <c r="C36" s="56"/>
      <c r="D36" s="56"/>
      <c r="E36" s="56"/>
      <c r="F36" s="7"/>
      <c r="G36" s="112">
        <v>19.0</v>
      </c>
      <c r="H36" s="74" t="s">
        <v>53</v>
      </c>
      <c r="I36" s="118">
        <v>10.9</v>
      </c>
      <c r="J36" s="118">
        <v>11.0</v>
      </c>
      <c r="K36" s="119">
        <f t="shared" si="9"/>
        <v>-0.1</v>
      </c>
      <c r="L36" s="150"/>
      <c r="M36" s="109"/>
      <c r="N36" s="143" t="s">
        <v>54</v>
      </c>
      <c r="O36" s="144" t="s">
        <v>1</v>
      </c>
      <c r="P36" s="111" t="s">
        <v>2</v>
      </c>
      <c r="Q36" s="111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39">
        <v>45836.0</v>
      </c>
      <c r="C37" s="56"/>
      <c r="D37" s="56"/>
      <c r="E37" s="56"/>
      <c r="F37" s="7"/>
      <c r="G37" s="112">
        <v>20.0</v>
      </c>
      <c r="H37" s="74" t="s">
        <v>55</v>
      </c>
      <c r="I37" s="118">
        <v>34.5</v>
      </c>
      <c r="J37" s="118">
        <v>45.0</v>
      </c>
      <c r="K37" s="119">
        <f t="shared" si="9"/>
        <v>-10.5</v>
      </c>
      <c r="L37" s="150"/>
      <c r="M37" s="147">
        <v>60.0</v>
      </c>
      <c r="N37" s="108" t="s">
        <v>56</v>
      </c>
      <c r="O37" s="145">
        <v>450.0</v>
      </c>
      <c r="P37" s="146">
        <f>SUMIF(E$10:E$144,"60",D$10:D$144)</f>
        <v>0</v>
      </c>
      <c r="Q37" s="146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39">
        <v>45837.0</v>
      </c>
      <c r="C38" s="56"/>
      <c r="D38" s="56"/>
      <c r="E38" s="56"/>
      <c r="F38" s="7"/>
      <c r="G38" s="109"/>
      <c r="H38" s="122" t="s">
        <v>34</v>
      </c>
      <c r="I38" s="123">
        <f t="shared" ref="I38:J38" si="11">SUM(I32:I37)</f>
        <v>225.3</v>
      </c>
      <c r="J38" s="123">
        <f t="shared" si="11"/>
        <v>236</v>
      </c>
      <c r="K38" s="123">
        <f t="shared" si="9"/>
        <v>-10.7</v>
      </c>
      <c r="L38" s="150"/>
      <c r="M38" s="112">
        <v>61.0</v>
      </c>
      <c r="N38" s="79" t="s">
        <v>57</v>
      </c>
      <c r="O38" s="118">
        <v>0.0</v>
      </c>
      <c r="P38" s="119">
        <f>SUMIF(E$10:E$144,"61",D$10:D$144)</f>
        <v>0</v>
      </c>
      <c r="Q38" s="119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39">
        <v>45838.0</v>
      </c>
      <c r="C39" s="56"/>
      <c r="D39" s="56"/>
      <c r="E39" s="56"/>
      <c r="F39" s="7"/>
      <c r="G39" s="8"/>
      <c r="H39" s="98"/>
      <c r="I39" s="98"/>
      <c r="J39" s="98"/>
      <c r="K39" s="98"/>
      <c r="L39" s="150"/>
      <c r="M39" s="112">
        <v>62.0</v>
      </c>
      <c r="N39" s="74" t="s">
        <v>58</v>
      </c>
      <c r="O39" s="118">
        <v>120.0</v>
      </c>
      <c r="P39" s="119">
        <f>SUMIF(E$10:E$144,"62",D$10:D$144)</f>
        <v>0</v>
      </c>
      <c r="Q39" s="119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39"/>
      <c r="C40" s="56"/>
      <c r="D40" s="56"/>
      <c r="E40" s="56"/>
      <c r="F40" s="7"/>
      <c r="G40" s="109"/>
      <c r="H40" s="110" t="s">
        <v>59</v>
      </c>
      <c r="I40" s="111" t="s">
        <v>1</v>
      </c>
      <c r="J40" s="111" t="s">
        <v>2</v>
      </c>
      <c r="K40" s="111" t="s">
        <v>3</v>
      </c>
      <c r="L40" s="150"/>
      <c r="M40" s="112">
        <v>63.0</v>
      </c>
      <c r="N40" s="74" t="s">
        <v>60</v>
      </c>
      <c r="O40" s="118">
        <v>148.0</v>
      </c>
      <c r="P40" s="119">
        <f>SUMIF(E$10:E$144,"63",D$10:D$144)</f>
        <v>0</v>
      </c>
      <c r="Q40" s="119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39"/>
      <c r="C41" s="56"/>
      <c r="D41" s="56"/>
      <c r="E41" s="56"/>
      <c r="F41" s="7"/>
      <c r="G41" s="112">
        <v>21.0</v>
      </c>
      <c r="H41" s="79" t="s">
        <v>61</v>
      </c>
      <c r="I41" s="145">
        <v>120.0</v>
      </c>
      <c r="J41" s="146">
        <f>SUMIF(E$10:E$144,"21",D$10:D$144)</f>
        <v>0</v>
      </c>
      <c r="K41" s="146">
        <f t="shared" ref="K41:K51" si="13">+I41-J41</f>
        <v>120</v>
      </c>
      <c r="L41" s="159"/>
      <c r="M41" s="112">
        <v>64.0</v>
      </c>
      <c r="N41" s="79" t="s">
        <v>62</v>
      </c>
      <c r="O41" s="118">
        <v>60.0</v>
      </c>
      <c r="P41" s="119">
        <f>SUMIF(E$10:E$144,"64",D$10:D$144)</f>
        <v>0</v>
      </c>
      <c r="Q41" s="119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39"/>
      <c r="C42" s="56"/>
      <c r="D42" s="56"/>
      <c r="E42" s="56"/>
      <c r="F42" s="7"/>
      <c r="G42" s="112">
        <v>22.0</v>
      </c>
      <c r="H42" s="74" t="s">
        <v>63</v>
      </c>
      <c r="I42" s="118">
        <v>120.0</v>
      </c>
      <c r="J42" s="119">
        <f>SUMIF(E$10:E$144,"22",D$10:D$144)</f>
        <v>0</v>
      </c>
      <c r="K42" s="119">
        <f t="shared" si="13"/>
        <v>120</v>
      </c>
      <c r="L42" s="98"/>
      <c r="M42" s="109"/>
      <c r="N42" s="122" t="s">
        <v>34</v>
      </c>
      <c r="O42" s="123">
        <f t="shared" ref="O42:P42" si="14">SUM(O37:O41)</f>
        <v>778</v>
      </c>
      <c r="P42" s="123">
        <f t="shared" si="14"/>
        <v>0</v>
      </c>
      <c r="Q42" s="123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39"/>
      <c r="C43" s="56"/>
      <c r="D43" s="56"/>
      <c r="E43" s="56"/>
      <c r="F43" s="7"/>
      <c r="G43" s="112">
        <v>23.0</v>
      </c>
      <c r="H43" s="74" t="s">
        <v>64</v>
      </c>
      <c r="I43" s="118">
        <v>100.0</v>
      </c>
      <c r="J43" s="119">
        <f>SUMIF(E$10:E$144,"23",D$10:D$144)</f>
        <v>0</v>
      </c>
      <c r="K43" s="119">
        <f t="shared" si="13"/>
        <v>100</v>
      </c>
      <c r="L43" s="98"/>
      <c r="M43" s="8"/>
      <c r="N43" s="98"/>
      <c r="O43" s="98"/>
      <c r="P43" s="98"/>
      <c r="Q43" s="98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39"/>
      <c r="C44" s="56"/>
      <c r="D44" s="56"/>
      <c r="E44" s="56"/>
      <c r="F44" s="7"/>
      <c r="G44" s="112">
        <v>24.0</v>
      </c>
      <c r="H44" s="79" t="s">
        <v>65</v>
      </c>
      <c r="I44" s="118">
        <v>100.0</v>
      </c>
      <c r="J44" s="119">
        <f>SUMIF(E$10:E$144,"24",D$10:D$144)</f>
        <v>0</v>
      </c>
      <c r="K44" s="119">
        <f t="shared" si="13"/>
        <v>100</v>
      </c>
      <c r="L44" s="98"/>
      <c r="M44" s="109"/>
      <c r="N44" s="160" t="s">
        <v>66</v>
      </c>
      <c r="O44" s="111" t="s">
        <v>1</v>
      </c>
      <c r="P44" s="111" t="s">
        <v>2</v>
      </c>
      <c r="Q44" s="111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39"/>
      <c r="C45" s="56"/>
      <c r="D45" s="56"/>
      <c r="E45" s="56"/>
      <c r="F45" s="7"/>
      <c r="G45" s="112">
        <v>25.0</v>
      </c>
      <c r="H45" s="79" t="s">
        <v>67</v>
      </c>
      <c r="I45" s="118">
        <v>150.0</v>
      </c>
      <c r="J45" s="119">
        <f>SUMIF(E$10:E$144,"25",D$10:D$144)</f>
        <v>0</v>
      </c>
      <c r="K45" s="119">
        <f t="shared" si="13"/>
        <v>150</v>
      </c>
      <c r="L45" s="98"/>
      <c r="M45" s="112">
        <v>70.0</v>
      </c>
      <c r="N45" s="74" t="s">
        <v>68</v>
      </c>
      <c r="O45" s="118">
        <v>0.0</v>
      </c>
      <c r="P45" s="119">
        <f>SUMIF(E$10:E$144,"70",D$10:D$144)</f>
        <v>0</v>
      </c>
      <c r="Q45" s="119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12">
        <v>26.0</v>
      </c>
      <c r="H46" s="79" t="s">
        <v>69</v>
      </c>
      <c r="I46" s="118">
        <v>0.0</v>
      </c>
      <c r="J46" s="119">
        <f>SUMIF(E$10:E$144,"26",D$10:D$144)</f>
        <v>0</v>
      </c>
      <c r="K46" s="119">
        <f t="shared" si="13"/>
        <v>0</v>
      </c>
      <c r="L46" s="98"/>
      <c r="M46" s="112">
        <v>71.0</v>
      </c>
      <c r="N46" s="74" t="s">
        <v>70</v>
      </c>
      <c r="O46" s="118">
        <v>0.0</v>
      </c>
      <c r="P46" s="119">
        <f>SUMIF(E$10:E$144,"71",D$10:D$144)</f>
        <v>0</v>
      </c>
      <c r="Q46" s="119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12">
        <v>27.0</v>
      </c>
      <c r="H47" s="79" t="s">
        <v>71</v>
      </c>
      <c r="I47" s="118">
        <v>89.0</v>
      </c>
      <c r="J47" s="119">
        <f>SUMIF(E$10:E$144,"27",D$10:D$144)</f>
        <v>0</v>
      </c>
      <c r="K47" s="119">
        <f t="shared" si="13"/>
        <v>89</v>
      </c>
      <c r="L47" s="98"/>
      <c r="M47" s="112">
        <v>72.0</v>
      </c>
      <c r="N47" s="74" t="s">
        <v>72</v>
      </c>
      <c r="O47" s="118">
        <v>0.0</v>
      </c>
      <c r="P47" s="119">
        <f>SUMIF(E$10:E$144,"72",D$10:D$144)</f>
        <v>0</v>
      </c>
      <c r="Q47" s="119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12">
        <v>28.0</v>
      </c>
      <c r="H48" s="79" t="s">
        <v>73</v>
      </c>
      <c r="I48" s="118">
        <v>0.0</v>
      </c>
      <c r="J48" s="119">
        <f>SUMIF(E$10:E$144,"28",D$10:D$144)</f>
        <v>0</v>
      </c>
      <c r="K48" s="119">
        <f t="shared" si="13"/>
        <v>0</v>
      </c>
      <c r="L48" s="98"/>
      <c r="M48" s="112">
        <v>73.0</v>
      </c>
      <c r="N48" s="74" t="s">
        <v>74</v>
      </c>
      <c r="O48" s="118">
        <v>0.0</v>
      </c>
      <c r="P48" s="119">
        <f>SUMIF(E$10:E$144,"73",D$10:D$144)</f>
        <v>0</v>
      </c>
      <c r="Q48" s="119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12">
        <v>29.0</v>
      </c>
      <c r="H49" s="79" t="s">
        <v>75</v>
      </c>
      <c r="I49" s="118">
        <v>0.0</v>
      </c>
      <c r="J49" s="119">
        <f>SUMIF(E$10:E$144,"29",D$10:D$144)</f>
        <v>0</v>
      </c>
      <c r="K49" s="119">
        <f t="shared" si="13"/>
        <v>0</v>
      </c>
      <c r="L49" s="98"/>
      <c r="M49" s="112">
        <v>74.0</v>
      </c>
      <c r="N49" s="74" t="s">
        <v>76</v>
      </c>
      <c r="O49" s="118">
        <v>0.0</v>
      </c>
      <c r="P49" s="119">
        <f>SUMIF(E$10:E$144,"74",D$10:D$144)</f>
        <v>0</v>
      </c>
      <c r="Q49" s="119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12">
        <v>30.0</v>
      </c>
      <c r="H50" s="79" t="s">
        <v>77</v>
      </c>
      <c r="I50" s="118">
        <v>0.0</v>
      </c>
      <c r="J50" s="119">
        <f>SUMIF(E$10:E$144,"30",D$10:D$144)</f>
        <v>0</v>
      </c>
      <c r="K50" s="119">
        <f t="shared" si="13"/>
        <v>0</v>
      </c>
      <c r="L50" s="98"/>
      <c r="M50" s="112">
        <v>75.0</v>
      </c>
      <c r="N50" s="79" t="s">
        <v>78</v>
      </c>
      <c r="O50" s="118">
        <v>0.0</v>
      </c>
      <c r="P50" s="119">
        <f>SUMIF(E$10:E$144,"75",D$10:D$144)</f>
        <v>0</v>
      </c>
      <c r="Q50" s="119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09"/>
      <c r="H51" s="122" t="s">
        <v>34</v>
      </c>
      <c r="I51" s="123">
        <f t="shared" ref="I51:J51" si="16">SUM(I41:I50)</f>
        <v>679</v>
      </c>
      <c r="J51" s="123">
        <f t="shared" si="16"/>
        <v>0</v>
      </c>
      <c r="K51" s="123">
        <f t="shared" si="13"/>
        <v>679</v>
      </c>
      <c r="L51" s="98"/>
      <c r="M51" s="112">
        <v>76.0</v>
      </c>
      <c r="N51" s="79" t="s">
        <v>79</v>
      </c>
      <c r="O51" s="118">
        <v>0.0</v>
      </c>
      <c r="P51" s="119">
        <f>SUMIF(E$10:E$144,"76",D$10:D$144)</f>
        <v>0</v>
      </c>
      <c r="Q51" s="119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8"/>
      <c r="H52" s="98"/>
      <c r="I52" s="98"/>
      <c r="J52" s="98"/>
      <c r="K52" s="98"/>
      <c r="L52" s="98"/>
      <c r="M52" s="109"/>
      <c r="N52" s="122" t="s">
        <v>34</v>
      </c>
      <c r="O52" s="123">
        <f t="shared" ref="O52:P52" si="17">SUM(O45:O51)</f>
        <v>0</v>
      </c>
      <c r="P52" s="123">
        <f t="shared" si="17"/>
        <v>0</v>
      </c>
      <c r="Q52" s="123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109"/>
      <c r="H53" s="110" t="s">
        <v>80</v>
      </c>
      <c r="I53" s="111" t="s">
        <v>1</v>
      </c>
      <c r="J53" s="111" t="s">
        <v>2</v>
      </c>
      <c r="K53" s="111" t="s">
        <v>3</v>
      </c>
      <c r="L53" s="98"/>
      <c r="M53" s="8"/>
      <c r="N53" s="98"/>
      <c r="O53" s="98"/>
      <c r="P53" s="98"/>
      <c r="Q53" s="98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112">
        <v>31.0</v>
      </c>
      <c r="H54" s="79" t="s">
        <v>81</v>
      </c>
      <c r="I54" s="118">
        <v>39.0</v>
      </c>
      <c r="J54" s="119">
        <f>SUMIF(E$10:E$144,"31",D$10:D$144)</f>
        <v>0</v>
      </c>
      <c r="K54" s="119">
        <f t="shared" ref="K54:K57" si="18">+I54-J54</f>
        <v>39</v>
      </c>
      <c r="L54" s="98"/>
      <c r="M54" s="109"/>
      <c r="N54" s="110" t="s">
        <v>105</v>
      </c>
      <c r="O54" s="111" t="s">
        <v>1</v>
      </c>
      <c r="P54" s="111" t="s">
        <v>2</v>
      </c>
      <c r="Q54" s="111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12">
        <v>32.0</v>
      </c>
      <c r="H55" s="74" t="s">
        <v>83</v>
      </c>
      <c r="I55" s="118">
        <v>0.0</v>
      </c>
      <c r="J55" s="119">
        <f>SUMIF(E$10:E$144,"32",D$10:D$144)</f>
        <v>0</v>
      </c>
      <c r="K55" s="119">
        <f t="shared" si="18"/>
        <v>0</v>
      </c>
      <c r="L55" s="98"/>
      <c r="M55" s="112">
        <v>80.0</v>
      </c>
      <c r="N55" s="79" t="s">
        <v>106</v>
      </c>
      <c r="O55" s="145">
        <v>89.0</v>
      </c>
      <c r="P55" s="146">
        <f>SUMIF(E$10:E$144,"80",D$10:D$144)</f>
        <v>0</v>
      </c>
      <c r="Q55" s="146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12">
        <v>33.0</v>
      </c>
      <c r="H56" s="79" t="s">
        <v>85</v>
      </c>
      <c r="I56" s="118">
        <v>0.0</v>
      </c>
      <c r="J56" s="119">
        <f>SUMIF(E$10:E$144,"33",D$10:D$144)</f>
        <v>0</v>
      </c>
      <c r="K56" s="119">
        <f t="shared" si="18"/>
        <v>0</v>
      </c>
      <c r="L56" s="98"/>
      <c r="M56" s="112">
        <v>81.0</v>
      </c>
      <c r="N56" s="79" t="s">
        <v>107</v>
      </c>
      <c r="O56" s="118">
        <v>0.0</v>
      </c>
      <c r="P56" s="119">
        <f>SUMIF(E$10:E$144,"81",D$10:D$144)</f>
        <v>0</v>
      </c>
      <c r="Q56" s="119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09"/>
      <c r="H57" s="122" t="s">
        <v>34</v>
      </c>
      <c r="I57" s="123">
        <f t="shared" ref="I57:J57" si="20">SUM(I54:I56)</f>
        <v>39</v>
      </c>
      <c r="J57" s="123">
        <f t="shared" si="20"/>
        <v>0</v>
      </c>
      <c r="K57" s="123">
        <f t="shared" si="18"/>
        <v>39</v>
      </c>
      <c r="L57" s="98"/>
      <c r="M57" s="112">
        <v>82.0</v>
      </c>
      <c r="N57" s="74" t="s">
        <v>108</v>
      </c>
      <c r="O57" s="118">
        <v>140.0</v>
      </c>
      <c r="P57" s="119">
        <f>SUMIF(E$10:E$144,"82",D$10:D$144)</f>
        <v>0</v>
      </c>
      <c r="Q57" s="119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8"/>
      <c r="H58" s="98"/>
      <c r="I58" s="98"/>
      <c r="J58" s="98"/>
      <c r="K58" s="98"/>
      <c r="L58" s="98"/>
      <c r="M58" s="112">
        <v>83.0</v>
      </c>
      <c r="N58" s="79" t="s">
        <v>109</v>
      </c>
      <c r="O58" s="118">
        <v>0.0</v>
      </c>
      <c r="P58" s="119">
        <f>SUMIF(E$10:E$144,"83",D$10:D$144)</f>
        <v>0</v>
      </c>
      <c r="Q58" s="119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09"/>
      <c r="H59" s="160" t="s">
        <v>110</v>
      </c>
      <c r="I59" s="111" t="s">
        <v>1</v>
      </c>
      <c r="J59" s="161" t="s">
        <v>90</v>
      </c>
      <c r="K59" s="161" t="s">
        <v>91</v>
      </c>
      <c r="L59" s="98"/>
      <c r="M59" s="109"/>
      <c r="N59" s="122" t="s">
        <v>34</v>
      </c>
      <c r="O59" s="123">
        <f t="shared" ref="O59:P59" si="21">SUM(O55:O58)</f>
        <v>229</v>
      </c>
      <c r="P59" s="123">
        <f t="shared" si="21"/>
        <v>0</v>
      </c>
      <c r="Q59" s="123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12">
        <v>34.0</v>
      </c>
      <c r="H60" s="74" t="s">
        <v>93</v>
      </c>
      <c r="I60" s="145">
        <v>1200.0</v>
      </c>
      <c r="J60" s="146">
        <f>SUMIF(E$10:E$144,"34",D$10:D$144)</f>
        <v>0</v>
      </c>
      <c r="K60" s="146">
        <f>+I60-O620</f>
        <v>1200</v>
      </c>
      <c r="L60" s="98"/>
      <c r="M60" s="8"/>
      <c r="N60" s="98"/>
      <c r="O60" s="98"/>
      <c r="P60" s="98"/>
      <c r="Q60" s="98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12">
        <v>35.0</v>
      </c>
      <c r="H61" s="74" t="s">
        <v>94</v>
      </c>
      <c r="I61" s="118">
        <v>1200.0</v>
      </c>
      <c r="J61" s="119">
        <f>SUMIF(E$10:E$144,"35",D$10:D$144)</f>
        <v>0</v>
      </c>
      <c r="K61" s="119">
        <f t="shared" ref="K61:K64" si="22">+I61-J61</f>
        <v>1200</v>
      </c>
      <c r="L61" s="98"/>
      <c r="M61" s="109"/>
      <c r="N61" s="110" t="s">
        <v>111</v>
      </c>
      <c r="O61" s="111" t="s">
        <v>1</v>
      </c>
      <c r="P61" s="111" t="s">
        <v>2</v>
      </c>
      <c r="Q61" s="111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12">
        <v>36.0</v>
      </c>
      <c r="H62" s="74" t="s">
        <v>96</v>
      </c>
      <c r="I62" s="118">
        <v>1200.0</v>
      </c>
      <c r="J62" s="119">
        <f>SUMIF(E$10:E$144,"36",D$10:D$144)</f>
        <v>0</v>
      </c>
      <c r="K62" s="119">
        <f t="shared" si="22"/>
        <v>1200</v>
      </c>
      <c r="L62" s="98"/>
      <c r="M62" s="112">
        <v>90.0</v>
      </c>
      <c r="N62" s="74" t="s">
        <v>97</v>
      </c>
      <c r="O62" s="118">
        <v>0.0</v>
      </c>
      <c r="P62" s="119">
        <f>SUMIF(E$10:E$144,"90",D$10:D$144)</f>
        <v>0</v>
      </c>
      <c r="Q62" s="119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12">
        <v>37.0</v>
      </c>
      <c r="H63" s="74" t="s">
        <v>100</v>
      </c>
      <c r="I63" s="118">
        <v>1200.0</v>
      </c>
      <c r="J63" s="119">
        <f>SUMIF(E$10:E$144,"37",D$10:D$144)</f>
        <v>0</v>
      </c>
      <c r="K63" s="119">
        <f t="shared" si="22"/>
        <v>1200</v>
      </c>
      <c r="L63" s="98"/>
      <c r="M63" s="112">
        <v>91.0</v>
      </c>
      <c r="N63" s="74" t="s">
        <v>101</v>
      </c>
      <c r="O63" s="118">
        <v>0.0</v>
      </c>
      <c r="P63" s="119">
        <f>SUMIF(E$10:E$144,"91",D$10:D$144)</f>
        <v>0</v>
      </c>
      <c r="Q63" s="119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7"/>
      <c r="G64" s="109"/>
      <c r="H64" s="122" t="s">
        <v>34</v>
      </c>
      <c r="I64" s="123">
        <f t="shared" ref="I64:J64" si="24">SUM(I60:I63)</f>
        <v>4800</v>
      </c>
      <c r="J64" s="123">
        <f t="shared" si="24"/>
        <v>0</v>
      </c>
      <c r="K64" s="123">
        <f t="shared" si="22"/>
        <v>4800</v>
      </c>
      <c r="L64" s="98"/>
      <c r="M64" s="112">
        <v>92.0</v>
      </c>
      <c r="N64" s="79" t="s">
        <v>102</v>
      </c>
      <c r="O64" s="118">
        <v>0.0</v>
      </c>
      <c r="P64" s="119">
        <f>SUMIF(E$10:E$144,"92",D$10:D$144)</f>
        <v>0</v>
      </c>
      <c r="Q64" s="119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7"/>
      <c r="G65" s="98"/>
      <c r="H65" s="98"/>
      <c r="I65" s="98"/>
      <c r="J65" s="98"/>
      <c r="K65" s="98"/>
      <c r="L65" s="98"/>
      <c r="M65" s="109"/>
      <c r="N65" s="122" t="s">
        <v>34</v>
      </c>
      <c r="O65" s="123">
        <f t="shared" ref="O65:P65" si="25">SUM(O62:O64)</f>
        <v>0</v>
      </c>
      <c r="P65" s="123">
        <f t="shared" si="25"/>
        <v>0</v>
      </c>
      <c r="Q65" s="123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10:E95">
    <cfRule type="cellIs" dxfId="0" priority="1" operator="notBetween">
      <formula>0</formula>
      <formula>100</formula>
    </cfRule>
  </conditionalFormatting>
  <conditionalFormatting sqref="E96:E97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167" t="s">
        <v>113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8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SUM(D10:D112)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39">
        <v>45839.0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45840.0</v>
      </c>
      <c r="C11" s="56"/>
      <c r="D11" s="56"/>
      <c r="E11" s="56"/>
      <c r="F11" s="7"/>
      <c r="G11" s="140"/>
      <c r="H11" s="141" t="s">
        <v>14</v>
      </c>
      <c r="I11" s="111" t="s">
        <v>1</v>
      </c>
      <c r="J11" s="111" t="s">
        <v>2</v>
      </c>
      <c r="K11" s="111" t="s">
        <v>3</v>
      </c>
      <c r="L11" s="142"/>
      <c r="M11" s="109"/>
      <c r="N11" s="143" t="s">
        <v>15</v>
      </c>
      <c r="O11" s="144" t="s">
        <v>1</v>
      </c>
      <c r="P11" s="111" t="s">
        <v>2</v>
      </c>
      <c r="Q11" s="111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45841.0</v>
      </c>
      <c r="C12" s="56"/>
      <c r="D12" s="56"/>
      <c r="E12" s="56"/>
      <c r="F12" s="7"/>
      <c r="G12" s="112">
        <v>1.0</v>
      </c>
      <c r="H12" s="67" t="s">
        <v>16</v>
      </c>
      <c r="I12" s="145">
        <v>150.0</v>
      </c>
      <c r="J12" s="146">
        <f>SUMIF(E$10:E$144,"1",D$10:D$144)</f>
        <v>0</v>
      </c>
      <c r="K12" s="146">
        <f t="shared" ref="K12:K22" si="2">+I12-J12</f>
        <v>150</v>
      </c>
      <c r="L12" s="106"/>
      <c r="M12" s="147">
        <v>40.0</v>
      </c>
      <c r="N12" s="67" t="s">
        <v>17</v>
      </c>
      <c r="O12" s="145">
        <v>58.0</v>
      </c>
      <c r="P12" s="145">
        <v>45.0</v>
      </c>
      <c r="Q12" s="146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45842.0</v>
      </c>
      <c r="C13" s="56"/>
      <c r="D13" s="56"/>
      <c r="E13" s="56"/>
      <c r="F13" s="7"/>
      <c r="G13" s="112">
        <v>2.0</v>
      </c>
      <c r="H13" s="74" t="s">
        <v>18</v>
      </c>
      <c r="I13" s="145">
        <v>1200.0</v>
      </c>
      <c r="J13" s="119">
        <f>SUMIF(E$10:E$144,"2",D$10:D$144)</f>
        <v>0</v>
      </c>
      <c r="K13" s="119">
        <f t="shared" si="2"/>
        <v>1200</v>
      </c>
      <c r="L13" s="106"/>
      <c r="M13" s="112">
        <v>41.0</v>
      </c>
      <c r="N13" s="74" t="s">
        <v>19</v>
      </c>
      <c r="O13" s="118">
        <v>68.0</v>
      </c>
      <c r="P13" s="119">
        <f>SUMIF(E$10:E$144,"41",D$10:D$144)</f>
        <v>0</v>
      </c>
      <c r="Q13" s="119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45843.0</v>
      </c>
      <c r="C14" s="56"/>
      <c r="D14" s="56"/>
      <c r="E14" s="56"/>
      <c r="F14" s="7"/>
      <c r="G14" s="112">
        <v>3.0</v>
      </c>
      <c r="H14" s="74" t="s">
        <v>20</v>
      </c>
      <c r="I14" s="145">
        <v>250.0</v>
      </c>
      <c r="J14" s="119">
        <f>SUMIF(E$10:E$144,"3",D$10:D$144)</f>
        <v>0</v>
      </c>
      <c r="K14" s="119">
        <f t="shared" si="2"/>
        <v>250</v>
      </c>
      <c r="L14" s="106"/>
      <c r="M14" s="112">
        <v>42.0</v>
      </c>
      <c r="N14" s="79" t="s">
        <v>21</v>
      </c>
      <c r="O14" s="118">
        <v>440.0</v>
      </c>
      <c r="P14" s="118">
        <v>0.0</v>
      </c>
      <c r="Q14" s="119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45844.0</v>
      </c>
      <c r="C15" s="56"/>
      <c r="D15" s="56"/>
      <c r="E15" s="56"/>
      <c r="F15" s="7"/>
      <c r="G15" s="112">
        <v>4.0</v>
      </c>
      <c r="H15" s="74" t="s">
        <v>22</v>
      </c>
      <c r="I15" s="118">
        <v>1200.0</v>
      </c>
      <c r="J15" s="118">
        <v>1400.0</v>
      </c>
      <c r="K15" s="119">
        <f t="shared" si="2"/>
        <v>-200</v>
      </c>
      <c r="L15" s="106"/>
      <c r="M15" s="112">
        <v>43.0</v>
      </c>
      <c r="N15" s="74" t="s">
        <v>23</v>
      </c>
      <c r="O15" s="118">
        <v>240.0</v>
      </c>
      <c r="P15" s="118">
        <v>143.0</v>
      </c>
      <c r="Q15" s="119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45845.0</v>
      </c>
      <c r="C16" s="56"/>
      <c r="D16" s="56"/>
      <c r="E16" s="56"/>
      <c r="F16" s="7"/>
      <c r="G16" s="112">
        <v>5.0</v>
      </c>
      <c r="H16" s="74" t="s">
        <v>24</v>
      </c>
      <c r="I16" s="118">
        <v>120.0</v>
      </c>
      <c r="J16" s="119">
        <f>SUMIF(E$10:E$144,"5",D$10:D$144)</f>
        <v>0</v>
      </c>
      <c r="K16" s="119">
        <f t="shared" si="2"/>
        <v>120</v>
      </c>
      <c r="L16" s="106"/>
      <c r="M16" s="112">
        <v>44.0</v>
      </c>
      <c r="N16" s="74" t="s">
        <v>25</v>
      </c>
      <c r="O16" s="118">
        <v>110.0</v>
      </c>
      <c r="P16" s="118">
        <v>240.0</v>
      </c>
      <c r="Q16" s="119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45846.0</v>
      </c>
      <c r="C17" s="56"/>
      <c r="D17" s="56"/>
      <c r="E17" s="56"/>
      <c r="F17" s="7"/>
      <c r="G17" s="112">
        <v>6.0</v>
      </c>
      <c r="H17" s="79" t="s">
        <v>26</v>
      </c>
      <c r="I17" s="118">
        <v>150.0</v>
      </c>
      <c r="J17" s="118">
        <v>150.0</v>
      </c>
      <c r="K17" s="119">
        <f t="shared" si="2"/>
        <v>0</v>
      </c>
      <c r="L17" s="106"/>
      <c r="M17" s="112">
        <v>45.0</v>
      </c>
      <c r="N17" s="74" t="s">
        <v>27</v>
      </c>
      <c r="O17" s="118">
        <v>0.0</v>
      </c>
      <c r="P17" s="119">
        <f>SUMIF(E$10:E$144,"45",D$10:D$144)</f>
        <v>0</v>
      </c>
      <c r="Q17" s="119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45847.0</v>
      </c>
      <c r="C18" s="56"/>
      <c r="D18" s="56"/>
      <c r="E18" s="56"/>
      <c r="F18" s="7"/>
      <c r="G18" s="112">
        <v>7.0</v>
      </c>
      <c r="H18" s="79" t="s">
        <v>28</v>
      </c>
      <c r="I18" s="118">
        <v>77.0</v>
      </c>
      <c r="J18" s="118">
        <v>77.0</v>
      </c>
      <c r="K18" s="119">
        <f t="shared" si="2"/>
        <v>0</v>
      </c>
      <c r="L18" s="106"/>
      <c r="M18" s="112">
        <v>46.0</v>
      </c>
      <c r="N18" s="74" t="s">
        <v>29</v>
      </c>
      <c r="O18" s="118">
        <v>0.0</v>
      </c>
      <c r="P18" s="119">
        <f>SUMIF(E$10:E$144,"46",D$10:D$144)</f>
        <v>0</v>
      </c>
      <c r="Q18" s="119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45848.0</v>
      </c>
      <c r="C19" s="56"/>
      <c r="D19" s="56"/>
      <c r="E19" s="56"/>
      <c r="F19" s="7"/>
      <c r="G19" s="112">
        <v>8.0</v>
      </c>
      <c r="H19" s="79" t="s">
        <v>30</v>
      </c>
      <c r="I19" s="118">
        <v>55.0</v>
      </c>
      <c r="J19" s="118">
        <v>55.0</v>
      </c>
      <c r="K19" s="119">
        <f t="shared" si="2"/>
        <v>0</v>
      </c>
      <c r="L19" s="106"/>
      <c r="M19" s="112">
        <v>47.0</v>
      </c>
      <c r="O19" s="118">
        <v>0.0</v>
      </c>
      <c r="P19" s="119">
        <f>SUMIF(E$10:E$144,"47",D$10:D$144)</f>
        <v>0</v>
      </c>
      <c r="Q19" s="119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45849.0</v>
      </c>
      <c r="C20" s="56"/>
      <c r="D20" s="56"/>
      <c r="E20" s="56"/>
      <c r="F20" s="7"/>
      <c r="G20" s="112">
        <v>9.0</v>
      </c>
      <c r="H20" s="74" t="s">
        <v>32</v>
      </c>
      <c r="I20" s="118">
        <v>175.0</v>
      </c>
      <c r="J20" s="118">
        <v>175.0</v>
      </c>
      <c r="K20" s="119">
        <f t="shared" si="2"/>
        <v>0</v>
      </c>
      <c r="L20" s="106"/>
      <c r="M20" s="112">
        <v>48.0</v>
      </c>
      <c r="O20" s="118">
        <v>0.0</v>
      </c>
      <c r="P20" s="119">
        <f>SUMIF(E$10:E$144,"48",D$10:D$144)</f>
        <v>0</v>
      </c>
      <c r="Q20" s="119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45850.0</v>
      </c>
      <c r="C21" s="56"/>
      <c r="D21" s="56"/>
      <c r="E21" s="56"/>
      <c r="F21" s="7"/>
      <c r="G21" s="148">
        <v>10.0</v>
      </c>
      <c r="H21" s="81" t="s">
        <v>33</v>
      </c>
      <c r="I21" s="149"/>
      <c r="J21" s="149">
        <f>SUMIF(E$10:E$144,"10",D$10:D$144)</f>
        <v>0</v>
      </c>
      <c r="K21" s="149">
        <f t="shared" si="2"/>
        <v>0</v>
      </c>
      <c r="L21" s="106"/>
      <c r="M21" s="112">
        <v>49.0</v>
      </c>
      <c r="O21" s="118">
        <v>0.0</v>
      </c>
      <c r="P21" s="118">
        <v>0.0</v>
      </c>
      <c r="Q21" s="119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45851.0</v>
      </c>
      <c r="C22" s="56"/>
      <c r="D22" s="56"/>
      <c r="E22" s="56"/>
      <c r="F22" s="7"/>
      <c r="G22" s="109"/>
      <c r="H22" s="122" t="s">
        <v>34</v>
      </c>
      <c r="I22" s="123">
        <f t="shared" ref="I22:J22" si="4">SUM(I12:I21)</f>
        <v>3377</v>
      </c>
      <c r="J22" s="123">
        <f t="shared" si="4"/>
        <v>1857</v>
      </c>
      <c r="K22" s="123">
        <f t="shared" si="2"/>
        <v>1520</v>
      </c>
      <c r="L22" s="150"/>
      <c r="M22" s="112">
        <v>50.0</v>
      </c>
      <c r="O22" s="118">
        <v>0.0</v>
      </c>
      <c r="P22" s="118">
        <v>0.0</v>
      </c>
      <c r="Q22" s="119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45852.0</v>
      </c>
      <c r="C23" s="56"/>
      <c r="D23" s="56"/>
      <c r="E23" s="56"/>
      <c r="F23" s="7"/>
      <c r="G23" s="8"/>
      <c r="H23" s="151"/>
      <c r="I23" s="142"/>
      <c r="J23" s="142"/>
      <c r="K23" s="142"/>
      <c r="L23" s="150"/>
      <c r="M23" s="112">
        <v>51.0</v>
      </c>
      <c r="N23" s="79" t="s">
        <v>104</v>
      </c>
      <c r="O23" s="118">
        <v>0.0</v>
      </c>
      <c r="P23" s="119">
        <f>SUMIF(E$10:E$144,"51",D$10:D$144)</f>
        <v>0</v>
      </c>
      <c r="Q23" s="119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45853.0</v>
      </c>
      <c r="C24" s="56"/>
      <c r="D24" s="56"/>
      <c r="E24" s="56"/>
      <c r="F24" s="7"/>
      <c r="G24" s="109"/>
      <c r="H24" s="110" t="s">
        <v>35</v>
      </c>
      <c r="I24" s="111" t="s">
        <v>1</v>
      </c>
      <c r="J24" s="111" t="s">
        <v>2</v>
      </c>
      <c r="K24" s="111" t="s">
        <v>3</v>
      </c>
      <c r="L24" s="150"/>
      <c r="M24" s="109"/>
      <c r="N24" s="152" t="s">
        <v>34</v>
      </c>
      <c r="O24" s="123">
        <f t="shared" ref="O24:P24" si="5">SUM(O12:O23)</f>
        <v>916</v>
      </c>
      <c r="P24" s="123">
        <f t="shared" si="5"/>
        <v>428</v>
      </c>
      <c r="Q24" s="123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45854.0</v>
      </c>
      <c r="C25" s="56"/>
      <c r="D25" s="56"/>
      <c r="E25" s="56"/>
      <c r="F25" s="7"/>
      <c r="G25" s="112">
        <v>11.0</v>
      </c>
      <c r="H25" s="79" t="s">
        <v>36</v>
      </c>
      <c r="I25" s="145">
        <v>450.0</v>
      </c>
      <c r="J25" s="145">
        <v>450.0</v>
      </c>
      <c r="K25" s="146">
        <f t="shared" ref="K25:K29" si="6">+I25-J25</f>
        <v>0</v>
      </c>
      <c r="L25" s="91"/>
      <c r="M25" s="153"/>
      <c r="N25" s="98"/>
      <c r="O25" s="98"/>
      <c r="P25" s="98"/>
      <c r="Q25" s="98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45855.0</v>
      </c>
      <c r="C26" s="56"/>
      <c r="D26" s="56"/>
      <c r="E26" s="56"/>
      <c r="F26" s="7"/>
      <c r="G26" s="112">
        <v>12.0</v>
      </c>
      <c r="H26" s="79" t="s">
        <v>37</v>
      </c>
      <c r="I26" s="118">
        <v>140.0</v>
      </c>
      <c r="J26" s="118">
        <v>140.0</v>
      </c>
      <c r="K26" s="119">
        <f t="shared" si="6"/>
        <v>0</v>
      </c>
      <c r="L26" s="91"/>
      <c r="M26" s="109"/>
      <c r="N26" s="154" t="s">
        <v>38</v>
      </c>
      <c r="O26" s="111" t="s">
        <v>1</v>
      </c>
      <c r="P26" s="111" t="s">
        <v>2</v>
      </c>
      <c r="Q26" s="111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45856.0</v>
      </c>
      <c r="C27" s="56"/>
      <c r="D27" s="56"/>
      <c r="E27" s="56"/>
      <c r="F27" s="7"/>
      <c r="G27" s="112">
        <v>13.0</v>
      </c>
      <c r="H27" s="74" t="s">
        <v>39</v>
      </c>
      <c r="I27" s="118">
        <v>100.0</v>
      </c>
      <c r="J27" s="118">
        <v>250.0</v>
      </c>
      <c r="K27" s="119">
        <f t="shared" si="6"/>
        <v>-150</v>
      </c>
      <c r="L27" s="91"/>
      <c r="M27" s="155">
        <v>52.0</v>
      </c>
      <c r="N27" s="79" t="s">
        <v>40</v>
      </c>
      <c r="O27" s="145">
        <v>0.0</v>
      </c>
      <c r="P27" s="146">
        <f>SUMIF(E$10:E$144,"52",D$10:D$144)</f>
        <v>0</v>
      </c>
      <c r="Q27" s="146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45857.0</v>
      </c>
      <c r="C28" s="56"/>
      <c r="D28" s="56"/>
      <c r="E28" s="56"/>
      <c r="F28" s="7"/>
      <c r="G28" s="112">
        <v>14.0</v>
      </c>
      <c r="H28" s="74" t="s">
        <v>41</v>
      </c>
      <c r="I28" s="74">
        <v>140.0</v>
      </c>
      <c r="J28" s="119">
        <f>SUMIF(E$10:E$144,"14",D$10:D$144)</f>
        <v>0</v>
      </c>
      <c r="K28" s="119">
        <f t="shared" si="6"/>
        <v>140</v>
      </c>
      <c r="L28" s="91"/>
      <c r="M28" s="156">
        <v>53.0</v>
      </c>
      <c r="N28" s="79" t="s">
        <v>42</v>
      </c>
      <c r="O28" s="118">
        <v>0.0</v>
      </c>
      <c r="P28" s="119">
        <f>SUMIF(E$10:E$144,"53",D$10:D$144)</f>
        <v>0</v>
      </c>
      <c r="Q28" s="119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45858.0</v>
      </c>
      <c r="C29" s="56"/>
      <c r="D29" s="56"/>
      <c r="E29" s="56"/>
      <c r="F29" s="7"/>
      <c r="G29" s="109"/>
      <c r="H29" s="122" t="s">
        <v>34</v>
      </c>
      <c r="I29" s="123">
        <f t="shared" ref="I29:J29" si="8">SUM(I25:I28)</f>
        <v>830</v>
      </c>
      <c r="J29" s="123">
        <f t="shared" si="8"/>
        <v>840</v>
      </c>
      <c r="K29" s="123">
        <f t="shared" si="6"/>
        <v>-10</v>
      </c>
      <c r="L29" s="157"/>
      <c r="M29" s="147">
        <v>54.0</v>
      </c>
      <c r="N29" s="74" t="s">
        <v>43</v>
      </c>
      <c r="O29" s="118">
        <v>0.0</v>
      </c>
      <c r="P29" s="119">
        <f>SUMIF(E$10:E$144,"54",D$10:D$144)</f>
        <v>0</v>
      </c>
      <c r="Q29" s="119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45859.0</v>
      </c>
      <c r="C30" s="56"/>
      <c r="D30" s="56"/>
      <c r="E30" s="56"/>
      <c r="F30" s="7"/>
      <c r="G30" s="8"/>
      <c r="H30" s="106"/>
      <c r="I30" s="150"/>
      <c r="J30" s="150"/>
      <c r="K30" s="150"/>
      <c r="L30" s="142"/>
      <c r="M30" s="112">
        <v>55.0</v>
      </c>
      <c r="N30" s="79" t="s">
        <v>44</v>
      </c>
      <c r="O30" s="118">
        <v>140.0</v>
      </c>
      <c r="P30" s="119">
        <f>SUMIF(E$10:E$144,"55",D$10:D$144)</f>
        <v>0</v>
      </c>
      <c r="Q30" s="119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45860.0</v>
      </c>
      <c r="C31" s="56"/>
      <c r="D31" s="56"/>
      <c r="E31" s="56"/>
      <c r="F31" s="7"/>
      <c r="G31" s="109"/>
      <c r="H31" s="110" t="s">
        <v>45</v>
      </c>
      <c r="I31" s="111" t="s">
        <v>1</v>
      </c>
      <c r="J31" s="111" t="s">
        <v>2</v>
      </c>
      <c r="K31" s="111" t="s">
        <v>3</v>
      </c>
      <c r="L31" s="150"/>
      <c r="M31" s="112">
        <v>56.0</v>
      </c>
      <c r="N31" s="74" t="s">
        <v>46</v>
      </c>
      <c r="O31" s="118">
        <v>0.0</v>
      </c>
      <c r="P31" s="119">
        <f>SUMIF(E$10:E$144,"56",D$10:D$144)</f>
        <v>0</v>
      </c>
      <c r="Q31" s="119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45861.0</v>
      </c>
      <c r="C32" s="56"/>
      <c r="D32" s="56"/>
      <c r="E32" s="56"/>
      <c r="F32" s="7"/>
      <c r="G32" s="112">
        <v>15.0</v>
      </c>
      <c r="H32" s="79" t="s">
        <v>47</v>
      </c>
      <c r="I32" s="145">
        <v>45.0</v>
      </c>
      <c r="J32" s="145">
        <v>45.0</v>
      </c>
      <c r="K32" s="146">
        <f t="shared" ref="K32:K38" si="9">+I32-J32</f>
        <v>0</v>
      </c>
      <c r="L32" s="150"/>
      <c r="M32" s="112">
        <v>57.0</v>
      </c>
      <c r="N32" s="74" t="s">
        <v>48</v>
      </c>
      <c r="O32" s="118">
        <v>0.0</v>
      </c>
      <c r="P32" s="119">
        <f>SUMIF(E$10:E$144,"57",D$10:D$144)</f>
        <v>0</v>
      </c>
      <c r="Q32" s="119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45862.0</v>
      </c>
      <c r="C33" s="56"/>
      <c r="D33" s="56"/>
      <c r="E33" s="56"/>
      <c r="F33" s="7"/>
      <c r="G33" s="112">
        <v>16.0</v>
      </c>
      <c r="H33" s="79" t="s">
        <v>49</v>
      </c>
      <c r="I33" s="118">
        <v>89.0</v>
      </c>
      <c r="J33" s="118">
        <v>89.0</v>
      </c>
      <c r="K33" s="119">
        <f t="shared" si="9"/>
        <v>0</v>
      </c>
      <c r="L33" s="150"/>
      <c r="M33" s="112">
        <v>58.0</v>
      </c>
      <c r="N33" s="79" t="s">
        <v>50</v>
      </c>
      <c r="O33" s="118">
        <v>0.0</v>
      </c>
      <c r="P33" s="119">
        <f>SUMIF(E$10:E$144,"58",D$10:D$144)</f>
        <v>0</v>
      </c>
      <c r="Q33" s="119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45863.0</v>
      </c>
      <c r="C34" s="56"/>
      <c r="D34" s="56"/>
      <c r="E34" s="56"/>
      <c r="F34" s="7"/>
      <c r="G34" s="112">
        <v>17.0</v>
      </c>
      <c r="H34" s="79" t="s">
        <v>51</v>
      </c>
      <c r="I34" s="118">
        <v>24.0</v>
      </c>
      <c r="J34" s="118">
        <v>24.0</v>
      </c>
      <c r="K34" s="119">
        <f t="shared" si="9"/>
        <v>0</v>
      </c>
      <c r="L34" s="150"/>
      <c r="M34" s="109"/>
      <c r="N34" s="152" t="s">
        <v>34</v>
      </c>
      <c r="O34" s="123">
        <f t="shared" ref="O34:P34" si="10">SUM(O27:O33)</f>
        <v>140</v>
      </c>
      <c r="P34" s="123">
        <f t="shared" si="10"/>
        <v>0</v>
      </c>
      <c r="Q34" s="123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39">
        <v>45864.0</v>
      </c>
      <c r="C35" s="56"/>
      <c r="D35" s="56"/>
      <c r="E35" s="56"/>
      <c r="F35" s="7"/>
      <c r="G35" s="112">
        <v>18.0</v>
      </c>
      <c r="H35" s="105" t="s">
        <v>52</v>
      </c>
      <c r="I35" s="118">
        <v>21.9</v>
      </c>
      <c r="J35" s="118">
        <v>22.0</v>
      </c>
      <c r="K35" s="119">
        <f t="shared" si="9"/>
        <v>-0.1</v>
      </c>
      <c r="L35" s="150"/>
      <c r="M35" s="158"/>
      <c r="N35" s="98"/>
      <c r="O35" s="98"/>
      <c r="P35" s="98"/>
      <c r="Q35" s="98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39">
        <v>45865.0</v>
      </c>
      <c r="C36" s="56"/>
      <c r="D36" s="56"/>
      <c r="E36" s="56"/>
      <c r="F36" s="7"/>
      <c r="G36" s="112">
        <v>19.0</v>
      </c>
      <c r="H36" s="74" t="s">
        <v>53</v>
      </c>
      <c r="I36" s="118">
        <v>10.9</v>
      </c>
      <c r="J36" s="118">
        <v>11.0</v>
      </c>
      <c r="K36" s="119">
        <f t="shared" si="9"/>
        <v>-0.1</v>
      </c>
      <c r="L36" s="150"/>
      <c r="M36" s="109"/>
      <c r="N36" s="143" t="s">
        <v>54</v>
      </c>
      <c r="O36" s="144" t="s">
        <v>1</v>
      </c>
      <c r="P36" s="111" t="s">
        <v>2</v>
      </c>
      <c r="Q36" s="111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39">
        <v>45866.0</v>
      </c>
      <c r="C37" s="56"/>
      <c r="D37" s="56"/>
      <c r="E37" s="56"/>
      <c r="F37" s="7"/>
      <c r="G37" s="112">
        <v>20.0</v>
      </c>
      <c r="H37" s="74" t="s">
        <v>55</v>
      </c>
      <c r="I37" s="118">
        <v>34.5</v>
      </c>
      <c r="J37" s="118">
        <v>45.0</v>
      </c>
      <c r="K37" s="119">
        <f t="shared" si="9"/>
        <v>-10.5</v>
      </c>
      <c r="L37" s="150"/>
      <c r="M37" s="147">
        <v>60.0</v>
      </c>
      <c r="N37" s="108" t="s">
        <v>56</v>
      </c>
      <c r="O37" s="145">
        <v>450.0</v>
      </c>
      <c r="P37" s="146">
        <f>SUMIF(E$10:E$144,"60",D$10:D$144)</f>
        <v>0</v>
      </c>
      <c r="Q37" s="146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39">
        <v>45867.0</v>
      </c>
      <c r="C38" s="56"/>
      <c r="D38" s="56"/>
      <c r="E38" s="56"/>
      <c r="F38" s="7"/>
      <c r="G38" s="109"/>
      <c r="H38" s="122" t="s">
        <v>34</v>
      </c>
      <c r="I38" s="123">
        <f t="shared" ref="I38:J38" si="11">SUM(I32:I37)</f>
        <v>225.3</v>
      </c>
      <c r="J38" s="123">
        <f t="shared" si="11"/>
        <v>236</v>
      </c>
      <c r="K38" s="123">
        <f t="shared" si="9"/>
        <v>-10.7</v>
      </c>
      <c r="L38" s="150"/>
      <c r="M38" s="112">
        <v>61.0</v>
      </c>
      <c r="N38" s="79" t="s">
        <v>57</v>
      </c>
      <c r="O38" s="118">
        <v>0.0</v>
      </c>
      <c r="P38" s="119">
        <f>SUMIF(E$10:E$144,"61",D$10:D$144)</f>
        <v>0</v>
      </c>
      <c r="Q38" s="119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39">
        <v>45868.0</v>
      </c>
      <c r="C39" s="56"/>
      <c r="D39" s="56"/>
      <c r="E39" s="56"/>
      <c r="F39" s="7"/>
      <c r="G39" s="8"/>
      <c r="H39" s="98"/>
      <c r="I39" s="98"/>
      <c r="J39" s="98"/>
      <c r="K39" s="98"/>
      <c r="L39" s="150"/>
      <c r="M39" s="112">
        <v>62.0</v>
      </c>
      <c r="N39" s="74" t="s">
        <v>58</v>
      </c>
      <c r="O39" s="118">
        <v>120.0</v>
      </c>
      <c r="P39" s="119">
        <f>SUMIF(E$10:E$144,"62",D$10:D$144)</f>
        <v>0</v>
      </c>
      <c r="Q39" s="119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39">
        <v>45869.0</v>
      </c>
      <c r="C40" s="56"/>
      <c r="D40" s="56"/>
      <c r="E40" s="56"/>
      <c r="F40" s="7"/>
      <c r="G40" s="109"/>
      <c r="H40" s="110" t="s">
        <v>59</v>
      </c>
      <c r="I40" s="111" t="s">
        <v>1</v>
      </c>
      <c r="J40" s="111" t="s">
        <v>2</v>
      </c>
      <c r="K40" s="111" t="s">
        <v>3</v>
      </c>
      <c r="L40" s="150"/>
      <c r="M40" s="112">
        <v>63.0</v>
      </c>
      <c r="N40" s="74" t="s">
        <v>60</v>
      </c>
      <c r="O40" s="118">
        <v>148.0</v>
      </c>
      <c r="P40" s="119">
        <f>SUMIF(E$10:E$144,"63",D$10:D$144)</f>
        <v>0</v>
      </c>
      <c r="Q40" s="119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39"/>
      <c r="C41" s="56"/>
      <c r="D41" s="56"/>
      <c r="E41" s="56"/>
      <c r="F41" s="7"/>
      <c r="G41" s="112">
        <v>21.0</v>
      </c>
      <c r="H41" s="79" t="s">
        <v>61</v>
      </c>
      <c r="I41" s="145">
        <v>120.0</v>
      </c>
      <c r="J41" s="146">
        <f>SUMIF(E$10:E$144,"21",D$10:D$144)</f>
        <v>0</v>
      </c>
      <c r="K41" s="146">
        <f t="shared" ref="K41:K51" si="13">+I41-J41</f>
        <v>120</v>
      </c>
      <c r="L41" s="159"/>
      <c r="M41" s="112">
        <v>64.0</v>
      </c>
      <c r="N41" s="79" t="s">
        <v>62</v>
      </c>
      <c r="O41" s="118">
        <v>60.0</v>
      </c>
      <c r="P41" s="119">
        <f>SUMIF(E$10:E$144,"64",D$10:D$144)</f>
        <v>0</v>
      </c>
      <c r="Q41" s="119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39"/>
      <c r="C42" s="56"/>
      <c r="D42" s="56"/>
      <c r="E42" s="56"/>
      <c r="F42" s="7"/>
      <c r="G42" s="112">
        <v>22.0</v>
      </c>
      <c r="H42" s="74" t="s">
        <v>63</v>
      </c>
      <c r="I42" s="118">
        <v>120.0</v>
      </c>
      <c r="J42" s="119">
        <f>SUMIF(E$10:E$144,"22",D$10:D$144)</f>
        <v>0</v>
      </c>
      <c r="K42" s="119">
        <f t="shared" si="13"/>
        <v>120</v>
      </c>
      <c r="L42" s="98"/>
      <c r="M42" s="109"/>
      <c r="N42" s="122" t="s">
        <v>34</v>
      </c>
      <c r="O42" s="123">
        <f t="shared" ref="O42:P42" si="14">SUM(O37:O41)</f>
        <v>778</v>
      </c>
      <c r="P42" s="123">
        <f t="shared" si="14"/>
        <v>0</v>
      </c>
      <c r="Q42" s="123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39"/>
      <c r="C43" s="56"/>
      <c r="D43" s="56"/>
      <c r="E43" s="56"/>
      <c r="F43" s="7"/>
      <c r="G43" s="112">
        <v>23.0</v>
      </c>
      <c r="H43" s="74" t="s">
        <v>64</v>
      </c>
      <c r="I43" s="118">
        <v>100.0</v>
      </c>
      <c r="J43" s="119">
        <f>SUMIF(E$10:E$144,"23",D$10:D$144)</f>
        <v>0</v>
      </c>
      <c r="K43" s="119">
        <f t="shared" si="13"/>
        <v>100</v>
      </c>
      <c r="L43" s="98"/>
      <c r="M43" s="8"/>
      <c r="N43" s="98"/>
      <c r="O43" s="98"/>
      <c r="P43" s="98"/>
      <c r="Q43" s="98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39"/>
      <c r="C44" s="56"/>
      <c r="D44" s="56"/>
      <c r="E44" s="56"/>
      <c r="F44" s="7"/>
      <c r="G44" s="112">
        <v>24.0</v>
      </c>
      <c r="H44" s="79" t="s">
        <v>65</v>
      </c>
      <c r="I44" s="118">
        <v>100.0</v>
      </c>
      <c r="J44" s="119">
        <f>SUMIF(E$10:E$144,"24",D$10:D$144)</f>
        <v>0</v>
      </c>
      <c r="K44" s="119">
        <f t="shared" si="13"/>
        <v>100</v>
      </c>
      <c r="L44" s="98"/>
      <c r="M44" s="109"/>
      <c r="N44" s="160" t="s">
        <v>66</v>
      </c>
      <c r="O44" s="111" t="s">
        <v>1</v>
      </c>
      <c r="P44" s="111" t="s">
        <v>2</v>
      </c>
      <c r="Q44" s="111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39"/>
      <c r="C45" s="56"/>
      <c r="D45" s="56"/>
      <c r="E45" s="56"/>
      <c r="F45" s="7"/>
      <c r="G45" s="112">
        <v>25.0</v>
      </c>
      <c r="H45" s="79" t="s">
        <v>67</v>
      </c>
      <c r="I45" s="118">
        <v>150.0</v>
      </c>
      <c r="J45" s="119">
        <f>SUMIF(E$10:E$144,"25",D$10:D$144)</f>
        <v>0</v>
      </c>
      <c r="K45" s="119">
        <f t="shared" si="13"/>
        <v>150</v>
      </c>
      <c r="L45" s="98"/>
      <c r="M45" s="112">
        <v>70.0</v>
      </c>
      <c r="N45" s="74" t="s">
        <v>68</v>
      </c>
      <c r="O45" s="118">
        <v>0.0</v>
      </c>
      <c r="P45" s="119">
        <f>SUMIF(E$10:E$144,"70",D$10:D$144)</f>
        <v>0</v>
      </c>
      <c r="Q45" s="119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39"/>
      <c r="C46" s="56"/>
      <c r="D46" s="56"/>
      <c r="E46" s="56"/>
      <c r="F46" s="7"/>
      <c r="G46" s="112">
        <v>26.0</v>
      </c>
      <c r="H46" s="79" t="s">
        <v>69</v>
      </c>
      <c r="I46" s="118">
        <v>0.0</v>
      </c>
      <c r="J46" s="119">
        <f>SUMIF(E$10:E$144,"26",D$10:D$144)</f>
        <v>0</v>
      </c>
      <c r="K46" s="119">
        <f t="shared" si="13"/>
        <v>0</v>
      </c>
      <c r="L46" s="98"/>
      <c r="M46" s="112">
        <v>71.0</v>
      </c>
      <c r="N46" s="74" t="s">
        <v>70</v>
      </c>
      <c r="O46" s="118">
        <v>0.0</v>
      </c>
      <c r="P46" s="119">
        <f>SUMIF(E$10:E$144,"71",D$10:D$144)</f>
        <v>0</v>
      </c>
      <c r="Q46" s="119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39"/>
      <c r="C47" s="56"/>
      <c r="D47" s="56"/>
      <c r="E47" s="56"/>
      <c r="F47" s="7"/>
      <c r="G47" s="112">
        <v>27.0</v>
      </c>
      <c r="H47" s="79" t="s">
        <v>71</v>
      </c>
      <c r="I47" s="118">
        <v>89.0</v>
      </c>
      <c r="J47" s="119">
        <f>SUMIF(E$10:E$144,"27",D$10:D$144)</f>
        <v>0</v>
      </c>
      <c r="K47" s="119">
        <f t="shared" si="13"/>
        <v>89</v>
      </c>
      <c r="L47" s="98"/>
      <c r="M47" s="112">
        <v>72.0</v>
      </c>
      <c r="N47" s="74" t="s">
        <v>72</v>
      </c>
      <c r="O47" s="118">
        <v>0.0</v>
      </c>
      <c r="P47" s="119">
        <f>SUMIF(E$10:E$144,"72",D$10:D$144)</f>
        <v>0</v>
      </c>
      <c r="Q47" s="119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39"/>
      <c r="C48" s="56"/>
      <c r="D48" s="56"/>
      <c r="E48" s="56"/>
      <c r="F48" s="7"/>
      <c r="G48" s="112">
        <v>28.0</v>
      </c>
      <c r="H48" s="79" t="s">
        <v>73</v>
      </c>
      <c r="I48" s="118">
        <v>0.0</v>
      </c>
      <c r="J48" s="119">
        <f>SUMIF(E$10:E$144,"28",D$10:D$144)</f>
        <v>0</v>
      </c>
      <c r="K48" s="119">
        <f t="shared" si="13"/>
        <v>0</v>
      </c>
      <c r="L48" s="98"/>
      <c r="M48" s="112">
        <v>73.0</v>
      </c>
      <c r="N48" s="74" t="s">
        <v>74</v>
      </c>
      <c r="O48" s="118">
        <v>0.0</v>
      </c>
      <c r="P48" s="119">
        <f>SUMIF(E$10:E$144,"73",D$10:D$144)</f>
        <v>0</v>
      </c>
      <c r="Q48" s="119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39"/>
      <c r="C49" s="56"/>
      <c r="D49" s="56"/>
      <c r="E49" s="56"/>
      <c r="F49" s="7"/>
      <c r="G49" s="112">
        <v>29.0</v>
      </c>
      <c r="H49" s="79" t="s">
        <v>75</v>
      </c>
      <c r="I49" s="118">
        <v>0.0</v>
      </c>
      <c r="J49" s="119">
        <f>SUMIF(E$10:E$144,"29",D$10:D$144)</f>
        <v>0</v>
      </c>
      <c r="K49" s="119">
        <f t="shared" si="13"/>
        <v>0</v>
      </c>
      <c r="L49" s="98"/>
      <c r="M49" s="112">
        <v>74.0</v>
      </c>
      <c r="N49" s="74" t="s">
        <v>76</v>
      </c>
      <c r="O49" s="118">
        <v>0.0</v>
      </c>
      <c r="P49" s="119">
        <f>SUMIF(E$10:E$144,"74",D$10:D$144)</f>
        <v>0</v>
      </c>
      <c r="Q49" s="119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39"/>
      <c r="C50" s="56"/>
      <c r="D50" s="56"/>
      <c r="E50" s="56"/>
      <c r="F50" s="7"/>
      <c r="G50" s="112">
        <v>30.0</v>
      </c>
      <c r="H50" s="79" t="s">
        <v>77</v>
      </c>
      <c r="I50" s="118">
        <v>0.0</v>
      </c>
      <c r="J50" s="119">
        <f>SUMIF(E$10:E$144,"30",D$10:D$144)</f>
        <v>0</v>
      </c>
      <c r="K50" s="119">
        <f t="shared" si="13"/>
        <v>0</v>
      </c>
      <c r="L50" s="98"/>
      <c r="M50" s="112">
        <v>75.0</v>
      </c>
      <c r="N50" s="79" t="s">
        <v>78</v>
      </c>
      <c r="O50" s="118">
        <v>0.0</v>
      </c>
      <c r="P50" s="119">
        <f>SUMIF(E$10:E$144,"75",D$10:D$144)</f>
        <v>0</v>
      </c>
      <c r="Q50" s="119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39"/>
      <c r="C51" s="56"/>
      <c r="D51" s="56"/>
      <c r="E51" s="56"/>
      <c r="F51" s="7"/>
      <c r="G51" s="109"/>
      <c r="H51" s="122" t="s">
        <v>34</v>
      </c>
      <c r="I51" s="123">
        <f t="shared" ref="I51:J51" si="16">SUM(I41:I50)</f>
        <v>679</v>
      </c>
      <c r="J51" s="123">
        <f t="shared" si="16"/>
        <v>0</v>
      </c>
      <c r="K51" s="123">
        <f t="shared" si="13"/>
        <v>679</v>
      </c>
      <c r="L51" s="98"/>
      <c r="M51" s="112">
        <v>76.0</v>
      </c>
      <c r="N51" s="79" t="s">
        <v>79</v>
      </c>
      <c r="O51" s="118">
        <v>0.0</v>
      </c>
      <c r="P51" s="119">
        <f>SUMIF(E$10:E$144,"76",D$10:D$144)</f>
        <v>0</v>
      </c>
      <c r="Q51" s="119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39"/>
      <c r="C52" s="56"/>
      <c r="D52" s="56"/>
      <c r="E52" s="56"/>
      <c r="F52" s="7"/>
      <c r="G52" s="8"/>
      <c r="H52" s="98"/>
      <c r="I52" s="98"/>
      <c r="J52" s="98"/>
      <c r="K52" s="98"/>
      <c r="L52" s="98"/>
      <c r="M52" s="109"/>
      <c r="N52" s="122" t="s">
        <v>34</v>
      </c>
      <c r="O52" s="123">
        <f t="shared" ref="O52:P52" si="17">SUM(O45:O51)</f>
        <v>0</v>
      </c>
      <c r="P52" s="123">
        <f t="shared" si="17"/>
        <v>0</v>
      </c>
      <c r="Q52" s="123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39"/>
      <c r="C53" s="56"/>
      <c r="D53" s="56"/>
      <c r="E53" s="56"/>
      <c r="F53" s="7"/>
      <c r="G53" s="109"/>
      <c r="H53" s="110" t="s">
        <v>80</v>
      </c>
      <c r="I53" s="111" t="s">
        <v>1</v>
      </c>
      <c r="J53" s="111" t="s">
        <v>2</v>
      </c>
      <c r="K53" s="111" t="s">
        <v>3</v>
      </c>
      <c r="L53" s="98"/>
      <c r="M53" s="8"/>
      <c r="N53" s="98"/>
      <c r="O53" s="98"/>
      <c r="P53" s="98"/>
      <c r="Q53" s="98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39"/>
      <c r="C54" s="56"/>
      <c r="D54" s="56"/>
      <c r="E54" s="56"/>
      <c r="F54" s="7"/>
      <c r="G54" s="112">
        <v>31.0</v>
      </c>
      <c r="H54" s="79" t="s">
        <v>81</v>
      </c>
      <c r="I54" s="118">
        <v>39.0</v>
      </c>
      <c r="J54" s="119">
        <f>SUMIF(E$10:E$144,"31",D$10:D$144)</f>
        <v>0</v>
      </c>
      <c r="K54" s="119">
        <f t="shared" ref="K54:K57" si="18">+I54-J54</f>
        <v>39</v>
      </c>
      <c r="L54" s="98"/>
      <c r="M54" s="109"/>
      <c r="N54" s="110" t="s">
        <v>105</v>
      </c>
      <c r="O54" s="111" t="s">
        <v>1</v>
      </c>
      <c r="P54" s="111" t="s">
        <v>2</v>
      </c>
      <c r="Q54" s="111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39"/>
      <c r="C55" s="56"/>
      <c r="D55" s="56"/>
      <c r="E55" s="56"/>
      <c r="F55" s="7"/>
      <c r="G55" s="112">
        <v>32.0</v>
      </c>
      <c r="H55" s="74" t="s">
        <v>83</v>
      </c>
      <c r="I55" s="118">
        <v>0.0</v>
      </c>
      <c r="J55" s="119">
        <f>SUMIF(E$10:E$144,"32",D$10:D$144)</f>
        <v>0</v>
      </c>
      <c r="K55" s="119">
        <f t="shared" si="18"/>
        <v>0</v>
      </c>
      <c r="L55" s="98"/>
      <c r="M55" s="112">
        <v>80.0</v>
      </c>
      <c r="N55" s="79" t="s">
        <v>106</v>
      </c>
      <c r="O55" s="145">
        <v>89.0</v>
      </c>
      <c r="P55" s="146">
        <f>SUMIF(E$10:E$144,"80",D$10:D$144)</f>
        <v>0</v>
      </c>
      <c r="Q55" s="146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39"/>
      <c r="C56" s="56"/>
      <c r="D56" s="56"/>
      <c r="E56" s="56"/>
      <c r="F56" s="7"/>
      <c r="G56" s="112">
        <v>33.0</v>
      </c>
      <c r="H56" s="79" t="s">
        <v>85</v>
      </c>
      <c r="I56" s="118">
        <v>0.0</v>
      </c>
      <c r="J56" s="119">
        <f>SUMIF(E$10:E$144,"33",D$10:D$144)</f>
        <v>0</v>
      </c>
      <c r="K56" s="119">
        <f t="shared" si="18"/>
        <v>0</v>
      </c>
      <c r="L56" s="98"/>
      <c r="M56" s="112">
        <v>81.0</v>
      </c>
      <c r="N56" s="79" t="s">
        <v>107</v>
      </c>
      <c r="O56" s="118">
        <v>0.0</v>
      </c>
      <c r="P56" s="119">
        <f>SUMIF(E$10:E$144,"81",D$10:D$144)</f>
        <v>0</v>
      </c>
      <c r="Q56" s="119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39"/>
      <c r="C57" s="56"/>
      <c r="D57" s="56"/>
      <c r="E57" s="56"/>
      <c r="F57" s="7"/>
      <c r="G57" s="109"/>
      <c r="H57" s="122" t="s">
        <v>34</v>
      </c>
      <c r="I57" s="123">
        <f t="shared" ref="I57:J57" si="20">SUM(I54:I56)</f>
        <v>39</v>
      </c>
      <c r="J57" s="123">
        <f t="shared" si="20"/>
        <v>0</v>
      </c>
      <c r="K57" s="123">
        <f t="shared" si="18"/>
        <v>39</v>
      </c>
      <c r="L57" s="98"/>
      <c r="M57" s="112">
        <v>82.0</v>
      </c>
      <c r="N57" s="74" t="s">
        <v>108</v>
      </c>
      <c r="O57" s="118">
        <v>140.0</v>
      </c>
      <c r="P57" s="119">
        <f>SUMIF(E$10:E$144,"82",D$10:D$144)</f>
        <v>0</v>
      </c>
      <c r="Q57" s="119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39"/>
      <c r="C58" s="56"/>
      <c r="D58" s="56"/>
      <c r="E58" s="56"/>
      <c r="F58" s="7"/>
      <c r="G58" s="8"/>
      <c r="H58" s="98"/>
      <c r="I58" s="98"/>
      <c r="J58" s="98"/>
      <c r="K58" s="98"/>
      <c r="L58" s="98"/>
      <c r="M58" s="112">
        <v>83.0</v>
      </c>
      <c r="N58" s="79" t="s">
        <v>109</v>
      </c>
      <c r="O58" s="118">
        <v>0.0</v>
      </c>
      <c r="P58" s="119">
        <f>SUMIF(E$10:E$144,"83",D$10:D$144)</f>
        <v>0</v>
      </c>
      <c r="Q58" s="119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39"/>
      <c r="C59" s="56"/>
      <c r="D59" s="56"/>
      <c r="E59" s="56"/>
      <c r="F59" s="7"/>
      <c r="G59" s="109"/>
      <c r="H59" s="160" t="s">
        <v>110</v>
      </c>
      <c r="I59" s="111" t="s">
        <v>1</v>
      </c>
      <c r="J59" s="161" t="s">
        <v>90</v>
      </c>
      <c r="K59" s="161" t="s">
        <v>91</v>
      </c>
      <c r="L59" s="98"/>
      <c r="M59" s="109"/>
      <c r="N59" s="122" t="s">
        <v>34</v>
      </c>
      <c r="O59" s="123">
        <f t="shared" ref="O59:P59" si="21">SUM(O55:O58)</f>
        <v>229</v>
      </c>
      <c r="P59" s="123">
        <f t="shared" si="21"/>
        <v>0</v>
      </c>
      <c r="Q59" s="123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39"/>
      <c r="C60" s="56"/>
      <c r="D60" s="56"/>
      <c r="E60" s="56"/>
      <c r="F60" s="7"/>
      <c r="G60" s="112">
        <v>34.0</v>
      </c>
      <c r="H60" s="74" t="s">
        <v>93</v>
      </c>
      <c r="I60" s="145">
        <v>1200.0</v>
      </c>
      <c r="J60" s="146">
        <f>SUMIF(E$10:E$144,"34",D$10:D$144)</f>
        <v>0</v>
      </c>
      <c r="K60" s="146">
        <f>+I60-O620</f>
        <v>1200</v>
      </c>
      <c r="L60" s="98"/>
      <c r="M60" s="8"/>
      <c r="N60" s="98"/>
      <c r="O60" s="98"/>
      <c r="P60" s="98"/>
      <c r="Q60" s="98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39"/>
      <c r="C61" s="56"/>
      <c r="D61" s="56"/>
      <c r="E61" s="56"/>
      <c r="F61" s="7"/>
      <c r="G61" s="112">
        <v>35.0</v>
      </c>
      <c r="H61" s="74" t="s">
        <v>94</v>
      </c>
      <c r="I61" s="118">
        <v>1200.0</v>
      </c>
      <c r="J61" s="119">
        <f>SUMIF(E$10:E$144,"35",D$10:D$144)</f>
        <v>0</v>
      </c>
      <c r="K61" s="119">
        <f t="shared" ref="K61:K64" si="22">+I61-J61</f>
        <v>1200</v>
      </c>
      <c r="L61" s="98"/>
      <c r="M61" s="109"/>
      <c r="N61" s="110" t="s">
        <v>111</v>
      </c>
      <c r="O61" s="111" t="s">
        <v>1</v>
      </c>
      <c r="P61" s="111" t="s">
        <v>2</v>
      </c>
      <c r="Q61" s="111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39"/>
      <c r="C62" s="56"/>
      <c r="D62" s="56"/>
      <c r="E62" s="56"/>
      <c r="F62" s="7"/>
      <c r="G62" s="112">
        <v>36.0</v>
      </c>
      <c r="H62" s="74" t="s">
        <v>96</v>
      </c>
      <c r="I62" s="118">
        <v>1200.0</v>
      </c>
      <c r="J62" s="119">
        <f>SUMIF(E$10:E$144,"36",D$10:D$144)</f>
        <v>0</v>
      </c>
      <c r="K62" s="119">
        <f t="shared" si="22"/>
        <v>1200</v>
      </c>
      <c r="L62" s="98"/>
      <c r="M62" s="112">
        <v>90.0</v>
      </c>
      <c r="N62" s="74" t="s">
        <v>97</v>
      </c>
      <c r="O62" s="118">
        <v>0.0</v>
      </c>
      <c r="P62" s="119">
        <f>SUMIF(E$10:E$144,"90",D$10:D$144)</f>
        <v>0</v>
      </c>
      <c r="Q62" s="119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39"/>
      <c r="C63" s="56"/>
      <c r="D63" s="56"/>
      <c r="E63" s="56"/>
      <c r="F63" s="7"/>
      <c r="G63" s="112">
        <v>37.0</v>
      </c>
      <c r="H63" s="74" t="s">
        <v>100</v>
      </c>
      <c r="I63" s="118">
        <v>1200.0</v>
      </c>
      <c r="J63" s="119">
        <f>SUMIF(E$10:E$144,"37",D$10:D$144)</f>
        <v>0</v>
      </c>
      <c r="K63" s="119">
        <f t="shared" si="22"/>
        <v>1200</v>
      </c>
      <c r="L63" s="98"/>
      <c r="M63" s="112">
        <v>91.0</v>
      </c>
      <c r="N63" s="74" t="s">
        <v>101</v>
      </c>
      <c r="O63" s="118">
        <v>0.0</v>
      </c>
      <c r="P63" s="119">
        <f>SUMIF(E$10:E$144,"91",D$10:D$144)</f>
        <v>0</v>
      </c>
      <c r="Q63" s="119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39"/>
      <c r="C64" s="56"/>
      <c r="D64" s="56"/>
      <c r="E64" s="56"/>
      <c r="F64" s="7"/>
      <c r="G64" s="109"/>
      <c r="H64" s="122" t="s">
        <v>34</v>
      </c>
      <c r="I64" s="123">
        <f t="shared" ref="I64:J64" si="24">SUM(I60:I63)</f>
        <v>4800</v>
      </c>
      <c r="J64" s="123">
        <f t="shared" si="24"/>
        <v>0</v>
      </c>
      <c r="K64" s="123">
        <f t="shared" si="22"/>
        <v>4800</v>
      </c>
      <c r="L64" s="98"/>
      <c r="M64" s="112">
        <v>92.0</v>
      </c>
      <c r="N64" s="79" t="s">
        <v>102</v>
      </c>
      <c r="O64" s="118">
        <v>0.0</v>
      </c>
      <c r="P64" s="119">
        <f>SUMIF(E$10:E$144,"92",D$10:D$144)</f>
        <v>0</v>
      </c>
      <c r="Q64" s="119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39"/>
      <c r="C65" s="56"/>
      <c r="D65" s="56"/>
      <c r="E65" s="56"/>
      <c r="F65" s="7"/>
      <c r="G65" s="98"/>
      <c r="H65" s="98"/>
      <c r="I65" s="98"/>
      <c r="J65" s="98"/>
      <c r="K65" s="98"/>
      <c r="L65" s="98"/>
      <c r="M65" s="109"/>
      <c r="N65" s="122" t="s">
        <v>34</v>
      </c>
      <c r="O65" s="123">
        <f t="shared" ref="O65:P65" si="25">SUM(O62:O64)</f>
        <v>0</v>
      </c>
      <c r="P65" s="123">
        <f t="shared" si="25"/>
        <v>0</v>
      </c>
      <c r="Q65" s="123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39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39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39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39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8:J8"/>
    <mergeCell ref="K8:M8"/>
    <mergeCell ref="B1:P1"/>
    <mergeCell ref="I3:J3"/>
    <mergeCell ref="K3:M3"/>
    <mergeCell ref="B6:E7"/>
    <mergeCell ref="B8:B9"/>
    <mergeCell ref="C8:C9"/>
    <mergeCell ref="E8:E9"/>
  </mergeCells>
  <conditionalFormatting sqref="E10:E95">
    <cfRule type="cellIs" dxfId="0" priority="1" operator="notBetween">
      <formula>0</formula>
      <formula>100</formula>
    </cfRule>
  </conditionalFormatting>
  <conditionalFormatting sqref="E96:E97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162" t="s">
        <v>114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9"/>
      <c r="Q1" s="168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SUM(D10:D112)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66">
        <v>45870.0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66">
        <v>45871.0</v>
      </c>
      <c r="C11" s="56"/>
      <c r="D11" s="56"/>
      <c r="E11" s="56"/>
      <c r="F11" s="7"/>
      <c r="G11" s="170"/>
      <c r="H11" s="171" t="s">
        <v>14</v>
      </c>
      <c r="I11" s="172" t="s">
        <v>1</v>
      </c>
      <c r="J11" s="172" t="s">
        <v>2</v>
      </c>
      <c r="K11" s="172" t="s">
        <v>3</v>
      </c>
      <c r="L11" s="173"/>
      <c r="M11" s="174"/>
      <c r="N11" s="175" t="s">
        <v>15</v>
      </c>
      <c r="O11" s="176" t="s">
        <v>1</v>
      </c>
      <c r="P11" s="172" t="s">
        <v>2</v>
      </c>
      <c r="Q11" s="172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66">
        <v>45872.0</v>
      </c>
      <c r="C12" s="56"/>
      <c r="D12" s="56"/>
      <c r="E12" s="56"/>
      <c r="F12" s="7"/>
      <c r="G12" s="177">
        <v>1.0</v>
      </c>
      <c r="H12" s="178" t="s">
        <v>16</v>
      </c>
      <c r="I12" s="179">
        <v>150.0</v>
      </c>
      <c r="J12" s="179">
        <f>SUMIF(E$10:E$144,"1",D$10:D$144)</f>
        <v>0</v>
      </c>
      <c r="K12" s="179">
        <f t="shared" ref="K12:K22" si="2">+I12-J12</f>
        <v>150</v>
      </c>
      <c r="L12" s="180"/>
      <c r="M12" s="181">
        <v>40.0</v>
      </c>
      <c r="N12" s="178" t="s">
        <v>17</v>
      </c>
      <c r="O12" s="179">
        <v>58.0</v>
      </c>
      <c r="P12" s="179">
        <v>45.0</v>
      </c>
      <c r="Q12" s="179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66">
        <v>45873.0</v>
      </c>
      <c r="C13" s="56"/>
      <c r="D13" s="56"/>
      <c r="E13" s="56"/>
      <c r="F13" s="7"/>
      <c r="G13" s="177">
        <v>2.0</v>
      </c>
      <c r="H13" s="182" t="s">
        <v>18</v>
      </c>
      <c r="I13" s="179">
        <v>1200.0</v>
      </c>
      <c r="J13" s="183">
        <f>SUMIF(E$10:E$144,"2",D$10:D$144)</f>
        <v>0</v>
      </c>
      <c r="K13" s="183">
        <f t="shared" si="2"/>
        <v>1200</v>
      </c>
      <c r="L13" s="180"/>
      <c r="M13" s="177">
        <v>41.0</v>
      </c>
      <c r="N13" s="182" t="s">
        <v>19</v>
      </c>
      <c r="O13" s="183">
        <v>68.0</v>
      </c>
      <c r="P13" s="183">
        <f>SUMIF(E$10:E$144,"41",D$10:D$144)</f>
        <v>0</v>
      </c>
      <c r="Q13" s="183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66">
        <v>45874.0</v>
      </c>
      <c r="C14" s="56"/>
      <c r="D14" s="56"/>
      <c r="E14" s="56"/>
      <c r="F14" s="7"/>
      <c r="G14" s="177">
        <v>3.0</v>
      </c>
      <c r="H14" s="184" t="s">
        <v>20</v>
      </c>
      <c r="I14" s="179">
        <v>250.0</v>
      </c>
      <c r="J14" s="183">
        <f>SUMIF(E$10:E$144,"3",D$10:D$144)</f>
        <v>0</v>
      </c>
      <c r="K14" s="183">
        <f t="shared" si="2"/>
        <v>250</v>
      </c>
      <c r="L14" s="180"/>
      <c r="M14" s="177">
        <v>42.0</v>
      </c>
      <c r="N14" s="182" t="s">
        <v>21</v>
      </c>
      <c r="O14" s="183">
        <v>440.0</v>
      </c>
      <c r="P14" s="183">
        <v>0.0</v>
      </c>
      <c r="Q14" s="183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66">
        <v>45875.0</v>
      </c>
      <c r="C15" s="56"/>
      <c r="D15" s="56"/>
      <c r="E15" s="56"/>
      <c r="F15" s="7"/>
      <c r="G15" s="177">
        <v>4.0</v>
      </c>
      <c r="H15" s="182" t="s">
        <v>22</v>
      </c>
      <c r="I15" s="183">
        <v>1200.0</v>
      </c>
      <c r="J15" s="183">
        <v>1400.0</v>
      </c>
      <c r="K15" s="183">
        <f t="shared" si="2"/>
        <v>-200</v>
      </c>
      <c r="L15" s="180"/>
      <c r="M15" s="177">
        <v>43.0</v>
      </c>
      <c r="N15" s="182" t="s">
        <v>23</v>
      </c>
      <c r="O15" s="183">
        <v>240.0</v>
      </c>
      <c r="P15" s="183">
        <v>143.0</v>
      </c>
      <c r="Q15" s="183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66">
        <v>45876.0</v>
      </c>
      <c r="C16" s="56"/>
      <c r="D16" s="56"/>
      <c r="E16" s="56"/>
      <c r="F16" s="7"/>
      <c r="G16" s="177">
        <v>5.0</v>
      </c>
      <c r="H16" s="182" t="s">
        <v>24</v>
      </c>
      <c r="I16" s="183">
        <v>120.0</v>
      </c>
      <c r="J16" s="183">
        <f>SUMIF(E$10:E$144,"5",D$10:D$144)</f>
        <v>0</v>
      </c>
      <c r="K16" s="183">
        <f t="shared" si="2"/>
        <v>120</v>
      </c>
      <c r="L16" s="180"/>
      <c r="M16" s="177">
        <v>44.0</v>
      </c>
      <c r="N16" s="182" t="s">
        <v>25</v>
      </c>
      <c r="O16" s="183">
        <v>110.0</v>
      </c>
      <c r="P16" s="183">
        <v>240.0</v>
      </c>
      <c r="Q16" s="183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66">
        <v>45877.0</v>
      </c>
      <c r="C17" s="56"/>
      <c r="D17" s="56"/>
      <c r="E17" s="56"/>
      <c r="F17" s="7"/>
      <c r="G17" s="177">
        <v>6.0</v>
      </c>
      <c r="H17" s="182" t="s">
        <v>26</v>
      </c>
      <c r="I17" s="183">
        <v>150.0</v>
      </c>
      <c r="J17" s="183">
        <v>150.0</v>
      </c>
      <c r="K17" s="183">
        <f t="shared" si="2"/>
        <v>0</v>
      </c>
      <c r="L17" s="180"/>
      <c r="M17" s="177">
        <v>45.0</v>
      </c>
      <c r="N17" s="182" t="s">
        <v>27</v>
      </c>
      <c r="O17" s="183">
        <v>0.0</v>
      </c>
      <c r="P17" s="183">
        <f>SUMIF(E$10:E$144,"45",D$10:D$144)</f>
        <v>0</v>
      </c>
      <c r="Q17" s="183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66">
        <v>45878.0</v>
      </c>
      <c r="C18" s="56"/>
      <c r="D18" s="56"/>
      <c r="E18" s="56"/>
      <c r="F18" s="7"/>
      <c r="G18" s="177">
        <v>7.0</v>
      </c>
      <c r="H18" s="182" t="s">
        <v>28</v>
      </c>
      <c r="I18" s="183">
        <v>77.0</v>
      </c>
      <c r="J18" s="183">
        <v>77.0</v>
      </c>
      <c r="K18" s="183">
        <f t="shared" si="2"/>
        <v>0</v>
      </c>
      <c r="L18" s="180"/>
      <c r="M18" s="177">
        <v>46.0</v>
      </c>
      <c r="N18" s="182" t="s">
        <v>29</v>
      </c>
      <c r="O18" s="183">
        <v>0.0</v>
      </c>
      <c r="P18" s="183">
        <f>SUMIF(E$10:E$144,"46",D$10:D$144)</f>
        <v>0</v>
      </c>
      <c r="Q18" s="183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66">
        <v>45879.0</v>
      </c>
      <c r="C19" s="56"/>
      <c r="D19" s="56"/>
      <c r="E19" s="56"/>
      <c r="F19" s="7"/>
      <c r="G19" s="177">
        <v>8.0</v>
      </c>
      <c r="H19" s="182" t="s">
        <v>30</v>
      </c>
      <c r="I19" s="183">
        <v>55.0</v>
      </c>
      <c r="J19" s="183">
        <v>55.0</v>
      </c>
      <c r="K19" s="183">
        <f t="shared" si="2"/>
        <v>0</v>
      </c>
      <c r="L19" s="180"/>
      <c r="M19" s="177">
        <v>47.0</v>
      </c>
      <c r="N19" s="185"/>
      <c r="O19" s="183">
        <v>0.0</v>
      </c>
      <c r="P19" s="183">
        <f>SUMIF(E$10:E$144,"47",D$10:D$144)</f>
        <v>0</v>
      </c>
      <c r="Q19" s="183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66">
        <v>45880.0</v>
      </c>
      <c r="C20" s="56"/>
      <c r="D20" s="56"/>
      <c r="E20" s="56"/>
      <c r="F20" s="7"/>
      <c r="G20" s="177">
        <v>9.0</v>
      </c>
      <c r="H20" s="182" t="s">
        <v>32</v>
      </c>
      <c r="I20" s="183">
        <v>175.0</v>
      </c>
      <c r="J20" s="183">
        <v>175.0</v>
      </c>
      <c r="K20" s="183">
        <f t="shared" si="2"/>
        <v>0</v>
      </c>
      <c r="L20" s="180"/>
      <c r="M20" s="177">
        <v>48.0</v>
      </c>
      <c r="N20" s="185"/>
      <c r="O20" s="183">
        <v>0.0</v>
      </c>
      <c r="P20" s="183">
        <f>SUMIF(E$10:E$144,"48",D$10:D$144)</f>
        <v>0</v>
      </c>
      <c r="Q20" s="183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66">
        <v>45881.0</v>
      </c>
      <c r="C21" s="56"/>
      <c r="D21" s="56"/>
      <c r="E21" s="56"/>
      <c r="F21" s="7"/>
      <c r="G21" s="186">
        <v>10.0</v>
      </c>
      <c r="H21" s="187" t="s">
        <v>33</v>
      </c>
      <c r="I21" s="188"/>
      <c r="J21" s="189">
        <f>SUMIF(E$10:E$144,"10",D$10:D$144)</f>
        <v>0</v>
      </c>
      <c r="K21" s="189">
        <f t="shared" si="2"/>
        <v>0</v>
      </c>
      <c r="L21" s="180"/>
      <c r="M21" s="177">
        <v>49.0</v>
      </c>
      <c r="N21" s="190"/>
      <c r="O21" s="183">
        <v>0.0</v>
      </c>
      <c r="P21" s="183">
        <v>0.0</v>
      </c>
      <c r="Q21" s="183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66">
        <v>45882.0</v>
      </c>
      <c r="C22" s="56"/>
      <c r="D22" s="56"/>
      <c r="E22" s="56"/>
      <c r="F22" s="7"/>
      <c r="G22" s="174"/>
      <c r="H22" s="191" t="s">
        <v>34</v>
      </c>
      <c r="I22" s="192">
        <f t="shared" ref="I22:J22" si="4">SUM(I12:I21)</f>
        <v>3377</v>
      </c>
      <c r="J22" s="192">
        <f t="shared" si="4"/>
        <v>1857</v>
      </c>
      <c r="K22" s="192">
        <f t="shared" si="2"/>
        <v>1520</v>
      </c>
      <c r="L22" s="193"/>
      <c r="M22" s="177">
        <v>50.0</v>
      </c>
      <c r="N22" s="185"/>
      <c r="O22" s="183">
        <v>0.0</v>
      </c>
      <c r="P22" s="183">
        <v>0.0</v>
      </c>
      <c r="Q22" s="183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66">
        <v>45883.0</v>
      </c>
      <c r="C23" s="56"/>
      <c r="D23" s="56"/>
      <c r="E23" s="56"/>
      <c r="F23" s="7"/>
      <c r="G23" s="174"/>
      <c r="H23" s="194"/>
      <c r="I23" s="173"/>
      <c r="J23" s="173"/>
      <c r="K23" s="173"/>
      <c r="L23" s="193"/>
      <c r="M23" s="177">
        <v>51.0</v>
      </c>
      <c r="N23" s="182" t="s">
        <v>104</v>
      </c>
      <c r="O23" s="183">
        <v>0.0</v>
      </c>
      <c r="P23" s="183">
        <f>SUMIF(E$10:E$144,"51",D$10:D$144)</f>
        <v>0</v>
      </c>
      <c r="Q23" s="183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66">
        <v>45884.0</v>
      </c>
      <c r="C24" s="56"/>
      <c r="D24" s="56"/>
      <c r="E24" s="56"/>
      <c r="F24" s="7"/>
      <c r="G24" s="174"/>
      <c r="H24" s="195" t="s">
        <v>35</v>
      </c>
      <c r="I24" s="172" t="s">
        <v>1</v>
      </c>
      <c r="J24" s="172" t="s">
        <v>2</v>
      </c>
      <c r="K24" s="172" t="s">
        <v>3</v>
      </c>
      <c r="L24" s="193"/>
      <c r="M24" s="174"/>
      <c r="N24" s="196" t="s">
        <v>34</v>
      </c>
      <c r="O24" s="192">
        <f t="shared" ref="O24:P24" si="5">SUM(O12:O23)</f>
        <v>916</v>
      </c>
      <c r="P24" s="192">
        <f t="shared" si="5"/>
        <v>428</v>
      </c>
      <c r="Q24" s="192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66">
        <v>45885.0</v>
      </c>
      <c r="C25" s="56"/>
      <c r="D25" s="56"/>
      <c r="E25" s="56"/>
      <c r="F25" s="7"/>
      <c r="G25" s="177">
        <v>11.0</v>
      </c>
      <c r="H25" s="182" t="s">
        <v>36</v>
      </c>
      <c r="I25" s="179">
        <v>450.0</v>
      </c>
      <c r="J25" s="179">
        <v>450.0</v>
      </c>
      <c r="K25" s="179">
        <f t="shared" ref="K25:K29" si="6">+I25-J25</f>
        <v>0</v>
      </c>
      <c r="L25" s="197"/>
      <c r="M25" s="198"/>
      <c r="N25" s="174"/>
      <c r="O25" s="174"/>
      <c r="P25" s="174"/>
      <c r="Q25" s="174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66">
        <v>45886.0</v>
      </c>
      <c r="C26" s="56"/>
      <c r="D26" s="56"/>
      <c r="E26" s="56"/>
      <c r="F26" s="7"/>
      <c r="G26" s="177">
        <v>12.0</v>
      </c>
      <c r="H26" s="182" t="s">
        <v>37</v>
      </c>
      <c r="I26" s="183">
        <v>140.0</v>
      </c>
      <c r="J26" s="183">
        <v>140.0</v>
      </c>
      <c r="K26" s="183">
        <f t="shared" si="6"/>
        <v>0</v>
      </c>
      <c r="L26" s="197"/>
      <c r="M26" s="174"/>
      <c r="N26" s="199" t="s">
        <v>38</v>
      </c>
      <c r="O26" s="172" t="s">
        <v>1</v>
      </c>
      <c r="P26" s="172" t="s">
        <v>2</v>
      </c>
      <c r="Q26" s="172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66">
        <v>45887.0</v>
      </c>
      <c r="C27" s="56"/>
      <c r="D27" s="56"/>
      <c r="E27" s="56"/>
      <c r="F27" s="7"/>
      <c r="G27" s="177">
        <v>13.0</v>
      </c>
      <c r="H27" s="182" t="s">
        <v>39</v>
      </c>
      <c r="I27" s="183">
        <v>100.0</v>
      </c>
      <c r="J27" s="183">
        <v>250.0</v>
      </c>
      <c r="K27" s="183">
        <f t="shared" si="6"/>
        <v>-150</v>
      </c>
      <c r="L27" s="197"/>
      <c r="M27" s="200">
        <v>52.0</v>
      </c>
      <c r="N27" s="182" t="s">
        <v>40</v>
      </c>
      <c r="O27" s="179">
        <v>0.0</v>
      </c>
      <c r="P27" s="179">
        <f>SUMIF(E$10:E$144,"52",D$10:D$144)</f>
        <v>0</v>
      </c>
      <c r="Q27" s="179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66">
        <v>45888.0</v>
      </c>
      <c r="C28" s="56"/>
      <c r="D28" s="56"/>
      <c r="E28" s="56"/>
      <c r="F28" s="7"/>
      <c r="G28" s="177">
        <v>14.0</v>
      </c>
      <c r="H28" s="182" t="s">
        <v>41</v>
      </c>
      <c r="I28" s="183">
        <v>140.0</v>
      </c>
      <c r="J28" s="183">
        <f>SUMIF(E$10:E$144,"14",D$10:D$144)</f>
        <v>0</v>
      </c>
      <c r="K28" s="183">
        <f t="shared" si="6"/>
        <v>140</v>
      </c>
      <c r="L28" s="197"/>
      <c r="M28" s="201">
        <v>53.0</v>
      </c>
      <c r="N28" s="182" t="s">
        <v>42</v>
      </c>
      <c r="O28" s="183">
        <v>0.0</v>
      </c>
      <c r="P28" s="183">
        <f>SUMIF(E$10:E$144,"53",D$10:D$144)</f>
        <v>0</v>
      </c>
      <c r="Q28" s="183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66">
        <v>45889.0</v>
      </c>
      <c r="C29" s="56"/>
      <c r="D29" s="56"/>
      <c r="E29" s="56"/>
      <c r="F29" s="7"/>
      <c r="G29" s="174"/>
      <c r="H29" s="191" t="s">
        <v>34</v>
      </c>
      <c r="I29" s="192">
        <f t="shared" ref="I29:J29" si="8">SUM(I25:I28)</f>
        <v>830</v>
      </c>
      <c r="J29" s="192">
        <f t="shared" si="8"/>
        <v>840</v>
      </c>
      <c r="K29" s="192">
        <f t="shared" si="6"/>
        <v>-10</v>
      </c>
      <c r="L29" s="202"/>
      <c r="M29" s="181">
        <v>54.0</v>
      </c>
      <c r="N29" s="182" t="s">
        <v>43</v>
      </c>
      <c r="O29" s="183">
        <v>0.0</v>
      </c>
      <c r="P29" s="183">
        <f>SUMIF(E$10:E$144,"54",D$10:D$144)</f>
        <v>0</v>
      </c>
      <c r="Q29" s="183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66">
        <v>45890.0</v>
      </c>
      <c r="C30" s="56"/>
      <c r="D30" s="56"/>
      <c r="E30" s="56"/>
      <c r="F30" s="7"/>
      <c r="G30" s="174"/>
      <c r="H30" s="180"/>
      <c r="I30" s="193"/>
      <c r="J30" s="193"/>
      <c r="K30" s="193"/>
      <c r="L30" s="173"/>
      <c r="M30" s="177">
        <v>55.0</v>
      </c>
      <c r="N30" s="182" t="s">
        <v>44</v>
      </c>
      <c r="O30" s="183">
        <v>140.0</v>
      </c>
      <c r="P30" s="183">
        <f>SUMIF(E$10:E$144,"55",D$10:D$144)</f>
        <v>0</v>
      </c>
      <c r="Q30" s="183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66">
        <v>45891.0</v>
      </c>
      <c r="C31" s="56"/>
      <c r="D31" s="56"/>
      <c r="E31" s="56"/>
      <c r="F31" s="7"/>
      <c r="G31" s="174"/>
      <c r="H31" s="195" t="s">
        <v>45</v>
      </c>
      <c r="I31" s="172" t="s">
        <v>1</v>
      </c>
      <c r="J31" s="172" t="s">
        <v>2</v>
      </c>
      <c r="K31" s="172" t="s">
        <v>3</v>
      </c>
      <c r="L31" s="193"/>
      <c r="M31" s="177">
        <v>56.0</v>
      </c>
      <c r="N31" s="182" t="s">
        <v>46</v>
      </c>
      <c r="O31" s="183">
        <v>0.0</v>
      </c>
      <c r="P31" s="183">
        <f>SUMIF(E$10:E$144,"56",D$10:D$144)</f>
        <v>0</v>
      </c>
      <c r="Q31" s="183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66">
        <v>45892.0</v>
      </c>
      <c r="C32" s="56"/>
      <c r="D32" s="56"/>
      <c r="E32" s="56"/>
      <c r="F32" s="7"/>
      <c r="G32" s="177">
        <v>15.0</v>
      </c>
      <c r="H32" s="182" t="s">
        <v>47</v>
      </c>
      <c r="I32" s="179">
        <v>45.0</v>
      </c>
      <c r="J32" s="179">
        <v>45.0</v>
      </c>
      <c r="K32" s="179">
        <f t="shared" ref="K32:K38" si="9">+I32-J32</f>
        <v>0</v>
      </c>
      <c r="L32" s="193"/>
      <c r="M32" s="177">
        <v>57.0</v>
      </c>
      <c r="N32" s="182" t="s">
        <v>48</v>
      </c>
      <c r="O32" s="183">
        <v>0.0</v>
      </c>
      <c r="P32" s="183">
        <f>SUMIF(E$10:E$144,"57",D$10:D$144)</f>
        <v>0</v>
      </c>
      <c r="Q32" s="183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66">
        <v>45893.0</v>
      </c>
      <c r="C33" s="56"/>
      <c r="D33" s="56"/>
      <c r="E33" s="56"/>
      <c r="F33" s="7"/>
      <c r="G33" s="177">
        <v>16.0</v>
      </c>
      <c r="H33" s="182" t="s">
        <v>49</v>
      </c>
      <c r="I33" s="183">
        <v>89.0</v>
      </c>
      <c r="J33" s="183">
        <v>89.0</v>
      </c>
      <c r="K33" s="183">
        <f t="shared" si="9"/>
        <v>0</v>
      </c>
      <c r="L33" s="193"/>
      <c r="M33" s="177">
        <v>58.0</v>
      </c>
      <c r="N33" s="182" t="s">
        <v>50</v>
      </c>
      <c r="O33" s="183">
        <v>0.0</v>
      </c>
      <c r="P33" s="183">
        <f>SUMIF(E$10:E$144,"58",D$10:D$144)</f>
        <v>0</v>
      </c>
      <c r="Q33" s="183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66">
        <v>45894.0</v>
      </c>
      <c r="C34" s="56"/>
      <c r="D34" s="56"/>
      <c r="E34" s="56"/>
      <c r="F34" s="7"/>
      <c r="G34" s="177">
        <v>17.0</v>
      </c>
      <c r="H34" s="182" t="s">
        <v>51</v>
      </c>
      <c r="I34" s="183">
        <v>24.0</v>
      </c>
      <c r="J34" s="183">
        <v>24.0</v>
      </c>
      <c r="K34" s="183">
        <f t="shared" si="9"/>
        <v>0</v>
      </c>
      <c r="L34" s="193"/>
      <c r="M34" s="174"/>
      <c r="N34" s="196" t="s">
        <v>34</v>
      </c>
      <c r="O34" s="192">
        <f t="shared" ref="O34:P34" si="10">SUM(O27:O33)</f>
        <v>140</v>
      </c>
      <c r="P34" s="192">
        <f t="shared" si="10"/>
        <v>0</v>
      </c>
      <c r="Q34" s="192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66">
        <v>45895.0</v>
      </c>
      <c r="C35" s="56"/>
      <c r="D35" s="56"/>
      <c r="E35" s="56"/>
      <c r="F35" s="7"/>
      <c r="G35" s="177">
        <v>18.0</v>
      </c>
      <c r="H35" s="185" t="s">
        <v>52</v>
      </c>
      <c r="I35" s="183">
        <v>21.9</v>
      </c>
      <c r="J35" s="183">
        <v>22.0</v>
      </c>
      <c r="K35" s="183">
        <f t="shared" si="9"/>
        <v>-0.1</v>
      </c>
      <c r="L35" s="193"/>
      <c r="M35" s="203"/>
      <c r="N35" s="174"/>
      <c r="O35" s="174"/>
      <c r="P35" s="174"/>
      <c r="Q35" s="174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66">
        <v>45896.0</v>
      </c>
      <c r="C36" s="56"/>
      <c r="D36" s="56"/>
      <c r="E36" s="56"/>
      <c r="F36" s="7"/>
      <c r="G36" s="177">
        <v>19.0</v>
      </c>
      <c r="H36" s="182" t="s">
        <v>53</v>
      </c>
      <c r="I36" s="183">
        <v>10.9</v>
      </c>
      <c r="J36" s="183">
        <v>11.0</v>
      </c>
      <c r="K36" s="183">
        <f t="shared" si="9"/>
        <v>-0.1</v>
      </c>
      <c r="L36" s="193"/>
      <c r="M36" s="174"/>
      <c r="N36" s="175" t="s">
        <v>54</v>
      </c>
      <c r="O36" s="176" t="s">
        <v>1</v>
      </c>
      <c r="P36" s="172" t="s">
        <v>2</v>
      </c>
      <c r="Q36" s="172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66">
        <v>45897.0</v>
      </c>
      <c r="C37" s="56"/>
      <c r="D37" s="56"/>
      <c r="E37" s="56"/>
      <c r="F37" s="7"/>
      <c r="G37" s="177">
        <v>20.0</v>
      </c>
      <c r="H37" s="182" t="s">
        <v>55</v>
      </c>
      <c r="I37" s="183">
        <v>34.5</v>
      </c>
      <c r="J37" s="183">
        <v>45.0</v>
      </c>
      <c r="K37" s="183">
        <f t="shared" si="9"/>
        <v>-10.5</v>
      </c>
      <c r="L37" s="193"/>
      <c r="M37" s="181">
        <v>60.0</v>
      </c>
      <c r="N37" s="178" t="s">
        <v>56</v>
      </c>
      <c r="O37" s="179">
        <v>450.0</v>
      </c>
      <c r="P37" s="179">
        <f>SUMIF(E$10:E$144,"60",D$10:D$144)</f>
        <v>0</v>
      </c>
      <c r="Q37" s="179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66">
        <v>45898.0</v>
      </c>
      <c r="C38" s="56"/>
      <c r="D38" s="56"/>
      <c r="E38" s="56"/>
      <c r="F38" s="7"/>
      <c r="G38" s="174"/>
      <c r="H38" s="191" t="s">
        <v>34</v>
      </c>
      <c r="I38" s="192">
        <f t="shared" ref="I38:J38" si="11">SUM(I32:I37)</f>
        <v>225.3</v>
      </c>
      <c r="J38" s="192">
        <f t="shared" si="11"/>
        <v>236</v>
      </c>
      <c r="K38" s="192">
        <f t="shared" si="9"/>
        <v>-10.7</v>
      </c>
      <c r="L38" s="193"/>
      <c r="M38" s="177">
        <v>61.0</v>
      </c>
      <c r="N38" s="182" t="s">
        <v>57</v>
      </c>
      <c r="O38" s="183">
        <v>0.0</v>
      </c>
      <c r="P38" s="183">
        <f>SUMIF(E$10:E$144,"61",D$10:D$144)</f>
        <v>0</v>
      </c>
      <c r="Q38" s="183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66">
        <v>45899.0</v>
      </c>
      <c r="C39" s="56"/>
      <c r="D39" s="56"/>
      <c r="E39" s="56"/>
      <c r="F39" s="7"/>
      <c r="G39" s="174"/>
      <c r="H39" s="174"/>
      <c r="I39" s="174"/>
      <c r="J39" s="174"/>
      <c r="K39" s="174"/>
      <c r="L39" s="193"/>
      <c r="M39" s="177">
        <v>62.0</v>
      </c>
      <c r="N39" s="182" t="s">
        <v>58</v>
      </c>
      <c r="O39" s="183">
        <v>120.0</v>
      </c>
      <c r="P39" s="183">
        <f>SUMIF(E$10:E$144,"62",D$10:D$144)</f>
        <v>0</v>
      </c>
      <c r="Q39" s="183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66">
        <v>45900.0</v>
      </c>
      <c r="C40" s="56"/>
      <c r="D40" s="56"/>
      <c r="E40" s="56"/>
      <c r="F40" s="7"/>
      <c r="G40" s="174"/>
      <c r="H40" s="195" t="s">
        <v>59</v>
      </c>
      <c r="I40" s="172" t="s">
        <v>1</v>
      </c>
      <c r="J40" s="172" t="s">
        <v>2</v>
      </c>
      <c r="K40" s="172" t="s">
        <v>3</v>
      </c>
      <c r="L40" s="193"/>
      <c r="M40" s="177">
        <v>63.0</v>
      </c>
      <c r="N40" s="182" t="s">
        <v>60</v>
      </c>
      <c r="O40" s="183">
        <v>148.0</v>
      </c>
      <c r="P40" s="183">
        <f>SUMIF(E$10:E$144,"63",D$10:D$144)</f>
        <v>0</v>
      </c>
      <c r="Q40" s="183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66"/>
      <c r="C41" s="56"/>
      <c r="D41" s="56"/>
      <c r="E41" s="56"/>
      <c r="F41" s="7"/>
      <c r="G41" s="177">
        <v>21.0</v>
      </c>
      <c r="H41" s="182" t="s">
        <v>61</v>
      </c>
      <c r="I41" s="179">
        <v>120.0</v>
      </c>
      <c r="J41" s="179">
        <f>SUMIF(E$10:E$144,"21",D$10:D$144)</f>
        <v>0</v>
      </c>
      <c r="K41" s="179">
        <f t="shared" ref="K41:K51" si="13">+I41-J41</f>
        <v>120</v>
      </c>
      <c r="L41" s="204"/>
      <c r="M41" s="177">
        <v>64.0</v>
      </c>
      <c r="N41" s="182" t="s">
        <v>62</v>
      </c>
      <c r="O41" s="183">
        <v>60.0</v>
      </c>
      <c r="P41" s="183">
        <f>SUMIF(E$10:E$144,"64",D$10:D$144)</f>
        <v>0</v>
      </c>
      <c r="Q41" s="183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15"/>
      <c r="C42" s="56"/>
      <c r="D42" s="56"/>
      <c r="E42" s="56"/>
      <c r="F42" s="7"/>
      <c r="G42" s="177">
        <v>22.0</v>
      </c>
      <c r="H42" s="182" t="s">
        <v>63</v>
      </c>
      <c r="I42" s="183">
        <v>120.0</v>
      </c>
      <c r="J42" s="183">
        <f>SUMIF(E$10:E$144,"22",D$10:D$144)</f>
        <v>0</v>
      </c>
      <c r="K42" s="183">
        <f t="shared" si="13"/>
        <v>120</v>
      </c>
      <c r="L42" s="174"/>
      <c r="M42" s="174"/>
      <c r="N42" s="191" t="s">
        <v>34</v>
      </c>
      <c r="O42" s="192">
        <f t="shared" ref="O42:P42" si="14">SUM(O37:O41)</f>
        <v>778</v>
      </c>
      <c r="P42" s="192">
        <f t="shared" si="14"/>
        <v>0</v>
      </c>
      <c r="Q42" s="192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15"/>
      <c r="C43" s="56"/>
      <c r="D43" s="56"/>
      <c r="E43" s="56"/>
      <c r="F43" s="7"/>
      <c r="G43" s="177">
        <v>23.0</v>
      </c>
      <c r="H43" s="182" t="s">
        <v>64</v>
      </c>
      <c r="I43" s="183">
        <v>100.0</v>
      </c>
      <c r="J43" s="183">
        <f>SUMIF(E$10:E$144,"23",D$10:D$144)</f>
        <v>0</v>
      </c>
      <c r="K43" s="183">
        <f t="shared" si="13"/>
        <v>100</v>
      </c>
      <c r="L43" s="174"/>
      <c r="M43" s="174"/>
      <c r="N43" s="174"/>
      <c r="O43" s="174"/>
      <c r="P43" s="174"/>
      <c r="Q43" s="174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7"/>
      <c r="G44" s="177">
        <v>24.0</v>
      </c>
      <c r="H44" s="182" t="s">
        <v>65</v>
      </c>
      <c r="I44" s="183">
        <v>100.0</v>
      </c>
      <c r="J44" s="183">
        <f>SUMIF(E$10:E$144,"24",D$10:D$144)</f>
        <v>0</v>
      </c>
      <c r="K44" s="183">
        <f t="shared" si="13"/>
        <v>100</v>
      </c>
      <c r="L44" s="174"/>
      <c r="M44" s="174"/>
      <c r="N44" s="195" t="s">
        <v>66</v>
      </c>
      <c r="O44" s="172" t="s">
        <v>1</v>
      </c>
      <c r="P44" s="172" t="s">
        <v>2</v>
      </c>
      <c r="Q44" s="172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7"/>
      <c r="G45" s="177">
        <v>25.0</v>
      </c>
      <c r="H45" s="182" t="s">
        <v>67</v>
      </c>
      <c r="I45" s="183">
        <v>150.0</v>
      </c>
      <c r="J45" s="183">
        <f>SUMIF(E$10:E$144,"25",D$10:D$144)</f>
        <v>0</v>
      </c>
      <c r="K45" s="183">
        <f t="shared" si="13"/>
        <v>150</v>
      </c>
      <c r="L45" s="174"/>
      <c r="M45" s="177">
        <v>70.0</v>
      </c>
      <c r="N45" s="182" t="s">
        <v>68</v>
      </c>
      <c r="O45" s="183">
        <v>0.0</v>
      </c>
      <c r="P45" s="183">
        <f>SUMIF(E$10:E$144,"70",D$10:D$144)</f>
        <v>0</v>
      </c>
      <c r="Q45" s="183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77">
        <v>26.0</v>
      </c>
      <c r="H46" s="182" t="s">
        <v>69</v>
      </c>
      <c r="I46" s="183">
        <v>0.0</v>
      </c>
      <c r="J46" s="183">
        <f>SUMIF(E$10:E$144,"26",D$10:D$144)</f>
        <v>0</v>
      </c>
      <c r="K46" s="183">
        <f t="shared" si="13"/>
        <v>0</v>
      </c>
      <c r="L46" s="174"/>
      <c r="M46" s="177">
        <v>71.0</v>
      </c>
      <c r="N46" s="182" t="s">
        <v>70</v>
      </c>
      <c r="O46" s="183">
        <v>0.0</v>
      </c>
      <c r="P46" s="183">
        <f>SUMIF(E$10:E$144,"71",D$10:D$144)</f>
        <v>0</v>
      </c>
      <c r="Q46" s="183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77">
        <v>27.0</v>
      </c>
      <c r="H47" s="182" t="s">
        <v>71</v>
      </c>
      <c r="I47" s="183">
        <v>89.0</v>
      </c>
      <c r="J47" s="183">
        <f>SUMIF(E$10:E$144,"27",D$10:D$144)</f>
        <v>0</v>
      </c>
      <c r="K47" s="183">
        <f t="shared" si="13"/>
        <v>89</v>
      </c>
      <c r="L47" s="174"/>
      <c r="M47" s="177">
        <v>72.0</v>
      </c>
      <c r="N47" s="182" t="s">
        <v>72</v>
      </c>
      <c r="O47" s="183">
        <v>0.0</v>
      </c>
      <c r="P47" s="183">
        <f>SUMIF(E$10:E$144,"72",D$10:D$144)</f>
        <v>0</v>
      </c>
      <c r="Q47" s="183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77">
        <v>28.0</v>
      </c>
      <c r="H48" s="182" t="s">
        <v>73</v>
      </c>
      <c r="I48" s="183">
        <v>0.0</v>
      </c>
      <c r="J48" s="183">
        <f>SUMIF(E$10:E$144,"28",D$10:D$144)</f>
        <v>0</v>
      </c>
      <c r="K48" s="183">
        <f t="shared" si="13"/>
        <v>0</v>
      </c>
      <c r="L48" s="174"/>
      <c r="M48" s="177">
        <v>73.0</v>
      </c>
      <c r="N48" s="182" t="s">
        <v>74</v>
      </c>
      <c r="O48" s="183">
        <v>0.0</v>
      </c>
      <c r="P48" s="183">
        <f>SUMIF(E$10:E$144,"73",D$10:D$144)</f>
        <v>0</v>
      </c>
      <c r="Q48" s="183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77">
        <v>29.0</v>
      </c>
      <c r="H49" s="182" t="s">
        <v>75</v>
      </c>
      <c r="I49" s="183">
        <v>0.0</v>
      </c>
      <c r="J49" s="183">
        <f>SUMIF(E$10:E$144,"29",D$10:D$144)</f>
        <v>0</v>
      </c>
      <c r="K49" s="183">
        <f t="shared" si="13"/>
        <v>0</v>
      </c>
      <c r="L49" s="174"/>
      <c r="M49" s="177">
        <v>74.0</v>
      </c>
      <c r="N49" s="182" t="s">
        <v>76</v>
      </c>
      <c r="O49" s="183">
        <v>0.0</v>
      </c>
      <c r="P49" s="183">
        <f>SUMIF(E$10:E$144,"74",D$10:D$144)</f>
        <v>0</v>
      </c>
      <c r="Q49" s="183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77">
        <v>30.0</v>
      </c>
      <c r="H50" s="182" t="s">
        <v>77</v>
      </c>
      <c r="I50" s="183">
        <v>0.0</v>
      </c>
      <c r="J50" s="183">
        <f>SUMIF(E$10:E$144,"30",D$10:D$144)</f>
        <v>0</v>
      </c>
      <c r="K50" s="183">
        <f t="shared" si="13"/>
        <v>0</v>
      </c>
      <c r="L50" s="174"/>
      <c r="M50" s="177">
        <v>75.0</v>
      </c>
      <c r="N50" s="182" t="s">
        <v>78</v>
      </c>
      <c r="O50" s="183">
        <v>0.0</v>
      </c>
      <c r="P50" s="183">
        <f>SUMIF(E$10:E$144,"75",D$10:D$144)</f>
        <v>0</v>
      </c>
      <c r="Q50" s="183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74"/>
      <c r="H51" s="191" t="s">
        <v>34</v>
      </c>
      <c r="I51" s="192">
        <f t="shared" ref="I51:J51" si="16">SUM(I41:I50)</f>
        <v>679</v>
      </c>
      <c r="J51" s="192">
        <f t="shared" si="16"/>
        <v>0</v>
      </c>
      <c r="K51" s="192">
        <f t="shared" si="13"/>
        <v>679</v>
      </c>
      <c r="L51" s="174"/>
      <c r="M51" s="177">
        <v>76.0</v>
      </c>
      <c r="N51" s="182" t="s">
        <v>79</v>
      </c>
      <c r="O51" s="183">
        <v>0.0</v>
      </c>
      <c r="P51" s="183">
        <f>SUMIF(E$10:E$144,"76",D$10:D$144)</f>
        <v>0</v>
      </c>
      <c r="Q51" s="183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174"/>
      <c r="H52" s="174"/>
      <c r="I52" s="174"/>
      <c r="J52" s="174"/>
      <c r="K52" s="174"/>
      <c r="L52" s="174"/>
      <c r="M52" s="174"/>
      <c r="N52" s="191" t="s">
        <v>34</v>
      </c>
      <c r="O52" s="192">
        <f t="shared" ref="O52:P52" si="17">SUM(O45:O51)</f>
        <v>0</v>
      </c>
      <c r="P52" s="192">
        <f t="shared" si="17"/>
        <v>0</v>
      </c>
      <c r="Q52" s="192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174"/>
      <c r="H53" s="195" t="s">
        <v>80</v>
      </c>
      <c r="I53" s="172" t="s">
        <v>1</v>
      </c>
      <c r="J53" s="172" t="s">
        <v>2</v>
      </c>
      <c r="K53" s="172" t="s">
        <v>3</v>
      </c>
      <c r="L53" s="174"/>
      <c r="M53" s="174"/>
      <c r="N53" s="174"/>
      <c r="O53" s="174"/>
      <c r="P53" s="174"/>
      <c r="Q53" s="174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177">
        <v>31.0</v>
      </c>
      <c r="H54" s="182" t="s">
        <v>81</v>
      </c>
      <c r="I54" s="183">
        <v>39.0</v>
      </c>
      <c r="J54" s="183">
        <f>SUMIF(E$10:E$144,"31",D$10:D$144)</f>
        <v>0</v>
      </c>
      <c r="K54" s="183">
        <f t="shared" ref="K54:K57" si="18">+I54-J54</f>
        <v>39</v>
      </c>
      <c r="L54" s="174"/>
      <c r="M54" s="174"/>
      <c r="N54" s="195" t="s">
        <v>105</v>
      </c>
      <c r="O54" s="172" t="s">
        <v>1</v>
      </c>
      <c r="P54" s="172" t="s">
        <v>2</v>
      </c>
      <c r="Q54" s="172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77">
        <v>32.0</v>
      </c>
      <c r="H55" s="182" t="s">
        <v>83</v>
      </c>
      <c r="I55" s="183">
        <v>0.0</v>
      </c>
      <c r="J55" s="183">
        <f>SUMIF(E$10:E$144,"32",D$10:D$144)</f>
        <v>0</v>
      </c>
      <c r="K55" s="183">
        <f t="shared" si="18"/>
        <v>0</v>
      </c>
      <c r="L55" s="174"/>
      <c r="M55" s="177">
        <v>80.0</v>
      </c>
      <c r="N55" s="182" t="s">
        <v>106</v>
      </c>
      <c r="O55" s="179">
        <v>89.0</v>
      </c>
      <c r="P55" s="179">
        <f>SUMIF(E$10:E$144,"80",D$10:D$144)</f>
        <v>0</v>
      </c>
      <c r="Q55" s="179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77">
        <v>33.0</v>
      </c>
      <c r="H56" s="182" t="s">
        <v>85</v>
      </c>
      <c r="I56" s="183">
        <v>0.0</v>
      </c>
      <c r="J56" s="183">
        <f>SUMIF(E$10:E$144,"33",D$10:D$144)</f>
        <v>0</v>
      </c>
      <c r="K56" s="183">
        <f t="shared" si="18"/>
        <v>0</v>
      </c>
      <c r="L56" s="174"/>
      <c r="M56" s="177">
        <v>81.0</v>
      </c>
      <c r="N56" s="182" t="s">
        <v>107</v>
      </c>
      <c r="O56" s="183">
        <v>0.0</v>
      </c>
      <c r="P56" s="183">
        <f>SUMIF(E$10:E$144,"81",D$10:D$144)</f>
        <v>0</v>
      </c>
      <c r="Q56" s="183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74"/>
      <c r="H57" s="191" t="s">
        <v>34</v>
      </c>
      <c r="I57" s="192">
        <f t="shared" ref="I57:J57" si="20">SUM(I54:I56)</f>
        <v>39</v>
      </c>
      <c r="J57" s="192">
        <f t="shared" si="20"/>
        <v>0</v>
      </c>
      <c r="K57" s="192">
        <f t="shared" si="18"/>
        <v>39</v>
      </c>
      <c r="L57" s="174"/>
      <c r="M57" s="177">
        <v>82.0</v>
      </c>
      <c r="N57" s="182" t="s">
        <v>108</v>
      </c>
      <c r="O57" s="183">
        <v>140.0</v>
      </c>
      <c r="P57" s="183">
        <f>SUMIF(E$10:E$144,"82",D$10:D$144)</f>
        <v>0</v>
      </c>
      <c r="Q57" s="183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174"/>
      <c r="H58" s="174"/>
      <c r="I58" s="174"/>
      <c r="J58" s="174"/>
      <c r="K58" s="174"/>
      <c r="L58" s="174"/>
      <c r="M58" s="177">
        <v>83.0</v>
      </c>
      <c r="N58" s="182" t="s">
        <v>109</v>
      </c>
      <c r="O58" s="183">
        <v>0.0</v>
      </c>
      <c r="P58" s="183">
        <f>SUMIF(E$10:E$144,"83",D$10:D$144)</f>
        <v>0</v>
      </c>
      <c r="Q58" s="183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74"/>
      <c r="H59" s="195" t="s">
        <v>110</v>
      </c>
      <c r="I59" s="172" t="s">
        <v>1</v>
      </c>
      <c r="J59" s="172" t="s">
        <v>90</v>
      </c>
      <c r="K59" s="172" t="s">
        <v>91</v>
      </c>
      <c r="L59" s="174"/>
      <c r="M59" s="174"/>
      <c r="N59" s="191" t="s">
        <v>34</v>
      </c>
      <c r="O59" s="192">
        <f t="shared" ref="O59:P59" si="21">SUM(O55:O58)</f>
        <v>229</v>
      </c>
      <c r="P59" s="192">
        <f t="shared" si="21"/>
        <v>0</v>
      </c>
      <c r="Q59" s="192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77">
        <v>34.0</v>
      </c>
      <c r="H60" s="182" t="s">
        <v>93</v>
      </c>
      <c r="I60" s="179">
        <v>1200.0</v>
      </c>
      <c r="J60" s="179">
        <f>SUMIF(E$10:E$144,"34",D$10:D$144)</f>
        <v>0</v>
      </c>
      <c r="K60" s="179">
        <f>+I60-O620</f>
        <v>1200</v>
      </c>
      <c r="L60" s="174"/>
      <c r="M60" s="174"/>
      <c r="N60" s="174"/>
      <c r="O60" s="174"/>
      <c r="P60" s="174"/>
      <c r="Q60" s="174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77">
        <v>35.0</v>
      </c>
      <c r="H61" s="182" t="s">
        <v>94</v>
      </c>
      <c r="I61" s="183">
        <v>1200.0</v>
      </c>
      <c r="J61" s="183">
        <f>SUMIF(E$10:E$144,"35",D$10:D$144)</f>
        <v>0</v>
      </c>
      <c r="K61" s="183">
        <f t="shared" ref="K61:K64" si="22">+I61-J61</f>
        <v>1200</v>
      </c>
      <c r="L61" s="174"/>
      <c r="M61" s="174"/>
      <c r="N61" s="195" t="s">
        <v>111</v>
      </c>
      <c r="O61" s="172" t="s">
        <v>1</v>
      </c>
      <c r="P61" s="172" t="s">
        <v>2</v>
      </c>
      <c r="Q61" s="172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77">
        <v>36.0</v>
      </c>
      <c r="H62" s="182" t="s">
        <v>96</v>
      </c>
      <c r="I62" s="183">
        <v>1200.0</v>
      </c>
      <c r="J62" s="183">
        <f>SUMIF(E$10:E$144,"36",D$10:D$144)</f>
        <v>0</v>
      </c>
      <c r="K62" s="183">
        <f t="shared" si="22"/>
        <v>1200</v>
      </c>
      <c r="L62" s="174"/>
      <c r="M62" s="177">
        <v>90.0</v>
      </c>
      <c r="N62" s="182" t="s">
        <v>97</v>
      </c>
      <c r="O62" s="183">
        <v>0.0</v>
      </c>
      <c r="P62" s="183">
        <f>SUMIF(E$10:E$144,"90",D$10:D$144)</f>
        <v>0</v>
      </c>
      <c r="Q62" s="183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77">
        <v>37.0</v>
      </c>
      <c r="H63" s="182" t="s">
        <v>100</v>
      </c>
      <c r="I63" s="183">
        <v>1200.0</v>
      </c>
      <c r="J63" s="183">
        <f>SUMIF(E$10:E$144,"37",D$10:D$144)</f>
        <v>0</v>
      </c>
      <c r="K63" s="183">
        <f t="shared" si="22"/>
        <v>1200</v>
      </c>
      <c r="L63" s="174"/>
      <c r="M63" s="177">
        <v>91.0</v>
      </c>
      <c r="N63" s="182" t="s">
        <v>101</v>
      </c>
      <c r="O63" s="183">
        <v>0.0</v>
      </c>
      <c r="P63" s="183">
        <f>SUMIF(E$10:E$144,"91",D$10:D$144)</f>
        <v>0</v>
      </c>
      <c r="Q63" s="183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7"/>
      <c r="G64" s="174"/>
      <c r="H64" s="191" t="s">
        <v>34</v>
      </c>
      <c r="I64" s="192">
        <f t="shared" ref="I64:J64" si="24">SUM(I60:I63)</f>
        <v>4800</v>
      </c>
      <c r="J64" s="192">
        <f t="shared" si="24"/>
        <v>0</v>
      </c>
      <c r="K64" s="192">
        <f t="shared" si="22"/>
        <v>4800</v>
      </c>
      <c r="L64" s="174"/>
      <c r="M64" s="177">
        <v>92.0</v>
      </c>
      <c r="N64" s="182" t="s">
        <v>102</v>
      </c>
      <c r="O64" s="183">
        <v>0.0</v>
      </c>
      <c r="P64" s="183">
        <f>SUMIF(E$10:E$144,"92",D$10:D$144)</f>
        <v>0</v>
      </c>
      <c r="Q64" s="183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7"/>
      <c r="G65" s="174"/>
      <c r="H65" s="174"/>
      <c r="I65" s="174"/>
      <c r="J65" s="174"/>
      <c r="K65" s="174"/>
      <c r="L65" s="174"/>
      <c r="M65" s="174"/>
      <c r="N65" s="191" t="s">
        <v>34</v>
      </c>
      <c r="O65" s="192">
        <f t="shared" ref="O65:P65" si="25">SUM(O62:O64)</f>
        <v>0</v>
      </c>
      <c r="P65" s="192">
        <f t="shared" si="25"/>
        <v>0</v>
      </c>
      <c r="Q65" s="192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8:J8"/>
    <mergeCell ref="K8:M8"/>
    <mergeCell ref="B1:O1"/>
    <mergeCell ref="I3:J3"/>
    <mergeCell ref="K3:M3"/>
    <mergeCell ref="B6:E7"/>
    <mergeCell ref="B8:B9"/>
    <mergeCell ref="C8:C9"/>
    <mergeCell ref="E8:E9"/>
  </mergeCells>
  <conditionalFormatting sqref="E10:E95">
    <cfRule type="cellIs" dxfId="0" priority="1" operator="notBetween">
      <formula>0</formula>
      <formula>100</formula>
    </cfRule>
  </conditionalFormatting>
  <conditionalFormatting sqref="E96:E97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162" t="s">
        <v>113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4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SUM(D10:D112)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39">
        <v>45901.0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45902.0</v>
      </c>
      <c r="C11" s="56"/>
      <c r="D11" s="56"/>
      <c r="E11" s="56"/>
      <c r="F11" s="7"/>
      <c r="G11" s="170"/>
      <c r="H11" s="171" t="s">
        <v>14</v>
      </c>
      <c r="I11" s="172" t="s">
        <v>1</v>
      </c>
      <c r="J11" s="172" t="s">
        <v>2</v>
      </c>
      <c r="K11" s="172" t="s">
        <v>3</v>
      </c>
      <c r="L11" s="173"/>
      <c r="M11" s="174"/>
      <c r="N11" s="175" t="s">
        <v>15</v>
      </c>
      <c r="O11" s="176" t="s">
        <v>1</v>
      </c>
      <c r="P11" s="172" t="s">
        <v>2</v>
      </c>
      <c r="Q11" s="172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45903.0</v>
      </c>
      <c r="C12" s="56"/>
      <c r="D12" s="56"/>
      <c r="E12" s="56"/>
      <c r="F12" s="7"/>
      <c r="G12" s="177">
        <v>1.0</v>
      </c>
      <c r="H12" s="178" t="s">
        <v>16</v>
      </c>
      <c r="I12" s="179">
        <v>150.0</v>
      </c>
      <c r="J12" s="179">
        <f>SUMIF(E$10:E$144,"1",D$10:D$144)</f>
        <v>0</v>
      </c>
      <c r="K12" s="179">
        <f t="shared" ref="K12:K22" si="2">+I12-J12</f>
        <v>150</v>
      </c>
      <c r="L12" s="180"/>
      <c r="M12" s="181">
        <v>40.0</v>
      </c>
      <c r="N12" s="178" t="s">
        <v>17</v>
      </c>
      <c r="O12" s="179">
        <v>58.0</v>
      </c>
      <c r="P12" s="179">
        <v>45.0</v>
      </c>
      <c r="Q12" s="179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45904.0</v>
      </c>
      <c r="C13" s="56"/>
      <c r="D13" s="56"/>
      <c r="E13" s="56"/>
      <c r="F13" s="7"/>
      <c r="G13" s="177">
        <v>2.0</v>
      </c>
      <c r="H13" s="182" t="s">
        <v>18</v>
      </c>
      <c r="I13" s="179">
        <v>1200.0</v>
      </c>
      <c r="J13" s="183">
        <f>SUMIF(E$10:E$144,"2",D$10:D$144)</f>
        <v>0</v>
      </c>
      <c r="K13" s="183">
        <f t="shared" si="2"/>
        <v>1200</v>
      </c>
      <c r="L13" s="180"/>
      <c r="M13" s="177">
        <v>41.0</v>
      </c>
      <c r="N13" s="182" t="s">
        <v>19</v>
      </c>
      <c r="O13" s="183">
        <v>68.0</v>
      </c>
      <c r="P13" s="183">
        <f>SUMIF(E$10:E$144,"41",D$10:D$144)</f>
        <v>0</v>
      </c>
      <c r="Q13" s="183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45905.0</v>
      </c>
      <c r="C14" s="56"/>
      <c r="D14" s="56"/>
      <c r="E14" s="56"/>
      <c r="F14" s="7"/>
      <c r="G14" s="177">
        <v>3.0</v>
      </c>
      <c r="H14" s="184" t="s">
        <v>20</v>
      </c>
      <c r="I14" s="179">
        <v>250.0</v>
      </c>
      <c r="J14" s="183">
        <f>SUMIF(E$10:E$144,"3",D$10:D$144)</f>
        <v>0</v>
      </c>
      <c r="K14" s="183">
        <f t="shared" si="2"/>
        <v>250</v>
      </c>
      <c r="L14" s="180"/>
      <c r="M14" s="177">
        <v>42.0</v>
      </c>
      <c r="N14" s="182" t="s">
        <v>21</v>
      </c>
      <c r="O14" s="183">
        <v>440.0</v>
      </c>
      <c r="P14" s="183">
        <v>0.0</v>
      </c>
      <c r="Q14" s="183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45906.0</v>
      </c>
      <c r="C15" s="56"/>
      <c r="D15" s="56"/>
      <c r="E15" s="56"/>
      <c r="F15" s="7"/>
      <c r="G15" s="177">
        <v>4.0</v>
      </c>
      <c r="H15" s="182" t="s">
        <v>22</v>
      </c>
      <c r="I15" s="183">
        <v>1200.0</v>
      </c>
      <c r="J15" s="183">
        <v>1400.0</v>
      </c>
      <c r="K15" s="183">
        <f t="shared" si="2"/>
        <v>-200</v>
      </c>
      <c r="L15" s="180"/>
      <c r="M15" s="177">
        <v>43.0</v>
      </c>
      <c r="N15" s="182" t="s">
        <v>23</v>
      </c>
      <c r="O15" s="183">
        <v>240.0</v>
      </c>
      <c r="P15" s="183">
        <v>143.0</v>
      </c>
      <c r="Q15" s="183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45907.0</v>
      </c>
      <c r="C16" s="56"/>
      <c r="D16" s="56"/>
      <c r="E16" s="56"/>
      <c r="F16" s="7"/>
      <c r="G16" s="177">
        <v>5.0</v>
      </c>
      <c r="H16" s="182" t="s">
        <v>24</v>
      </c>
      <c r="I16" s="183">
        <v>120.0</v>
      </c>
      <c r="J16" s="183">
        <f>SUMIF(E$10:E$144,"5",D$10:D$144)</f>
        <v>0</v>
      </c>
      <c r="K16" s="183">
        <f t="shared" si="2"/>
        <v>120</v>
      </c>
      <c r="L16" s="180"/>
      <c r="M16" s="177">
        <v>44.0</v>
      </c>
      <c r="N16" s="182" t="s">
        <v>25</v>
      </c>
      <c r="O16" s="183">
        <v>110.0</v>
      </c>
      <c r="P16" s="183">
        <v>240.0</v>
      </c>
      <c r="Q16" s="183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45908.0</v>
      </c>
      <c r="C17" s="56"/>
      <c r="D17" s="56"/>
      <c r="E17" s="56"/>
      <c r="F17" s="7"/>
      <c r="G17" s="177">
        <v>6.0</v>
      </c>
      <c r="H17" s="182" t="s">
        <v>26</v>
      </c>
      <c r="I17" s="183">
        <v>150.0</v>
      </c>
      <c r="J17" s="183">
        <v>150.0</v>
      </c>
      <c r="K17" s="183">
        <f t="shared" si="2"/>
        <v>0</v>
      </c>
      <c r="L17" s="180"/>
      <c r="M17" s="177">
        <v>45.0</v>
      </c>
      <c r="N17" s="182" t="s">
        <v>27</v>
      </c>
      <c r="O17" s="183">
        <v>0.0</v>
      </c>
      <c r="P17" s="183">
        <f>SUMIF(E$10:E$144,"45",D$10:D$144)</f>
        <v>0</v>
      </c>
      <c r="Q17" s="183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45909.0</v>
      </c>
      <c r="C18" s="56"/>
      <c r="D18" s="56"/>
      <c r="E18" s="56"/>
      <c r="F18" s="7"/>
      <c r="G18" s="177">
        <v>7.0</v>
      </c>
      <c r="H18" s="182" t="s">
        <v>28</v>
      </c>
      <c r="I18" s="183">
        <v>77.0</v>
      </c>
      <c r="J18" s="183">
        <v>77.0</v>
      </c>
      <c r="K18" s="183">
        <f t="shared" si="2"/>
        <v>0</v>
      </c>
      <c r="L18" s="180"/>
      <c r="M18" s="177">
        <v>46.0</v>
      </c>
      <c r="N18" s="182" t="s">
        <v>29</v>
      </c>
      <c r="O18" s="183">
        <v>0.0</v>
      </c>
      <c r="P18" s="183">
        <f>SUMIF(E$10:E$144,"46",D$10:D$144)</f>
        <v>0</v>
      </c>
      <c r="Q18" s="183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45910.0</v>
      </c>
      <c r="C19" s="56"/>
      <c r="D19" s="56"/>
      <c r="E19" s="56"/>
      <c r="F19" s="7"/>
      <c r="G19" s="177">
        <v>8.0</v>
      </c>
      <c r="H19" s="182" t="s">
        <v>30</v>
      </c>
      <c r="I19" s="183">
        <v>55.0</v>
      </c>
      <c r="J19" s="183">
        <v>55.0</v>
      </c>
      <c r="K19" s="183">
        <f t="shared" si="2"/>
        <v>0</v>
      </c>
      <c r="L19" s="180"/>
      <c r="M19" s="177">
        <v>47.0</v>
      </c>
      <c r="N19" s="185"/>
      <c r="O19" s="183">
        <v>0.0</v>
      </c>
      <c r="P19" s="183">
        <f>SUMIF(E$10:E$144,"47",D$10:D$144)</f>
        <v>0</v>
      </c>
      <c r="Q19" s="183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45911.0</v>
      </c>
      <c r="C20" s="56"/>
      <c r="D20" s="56"/>
      <c r="E20" s="56"/>
      <c r="F20" s="7"/>
      <c r="G20" s="177">
        <v>9.0</v>
      </c>
      <c r="H20" s="182" t="s">
        <v>32</v>
      </c>
      <c r="I20" s="183">
        <v>175.0</v>
      </c>
      <c r="J20" s="183">
        <v>175.0</v>
      </c>
      <c r="K20" s="183">
        <f t="shared" si="2"/>
        <v>0</v>
      </c>
      <c r="L20" s="180"/>
      <c r="M20" s="177">
        <v>48.0</v>
      </c>
      <c r="N20" s="185"/>
      <c r="O20" s="183">
        <v>0.0</v>
      </c>
      <c r="P20" s="183">
        <f>SUMIF(E$10:E$144,"48",D$10:D$144)</f>
        <v>0</v>
      </c>
      <c r="Q20" s="183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45912.0</v>
      </c>
      <c r="C21" s="56"/>
      <c r="D21" s="56"/>
      <c r="E21" s="56"/>
      <c r="F21" s="7"/>
      <c r="G21" s="186">
        <v>10.0</v>
      </c>
      <c r="H21" s="187" t="s">
        <v>33</v>
      </c>
      <c r="I21" s="188"/>
      <c r="J21" s="189">
        <f>SUMIF(E$10:E$144,"10",D$10:D$144)</f>
        <v>0</v>
      </c>
      <c r="K21" s="189">
        <f t="shared" si="2"/>
        <v>0</v>
      </c>
      <c r="L21" s="180"/>
      <c r="M21" s="177">
        <v>49.0</v>
      </c>
      <c r="N21" s="190"/>
      <c r="O21" s="183">
        <v>0.0</v>
      </c>
      <c r="P21" s="183">
        <v>0.0</v>
      </c>
      <c r="Q21" s="183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45913.0</v>
      </c>
      <c r="C22" s="56"/>
      <c r="D22" s="56"/>
      <c r="E22" s="56"/>
      <c r="F22" s="7"/>
      <c r="G22" s="174"/>
      <c r="H22" s="191" t="s">
        <v>34</v>
      </c>
      <c r="I22" s="192">
        <f t="shared" ref="I22:J22" si="4">SUM(I12:I21)</f>
        <v>3377</v>
      </c>
      <c r="J22" s="192">
        <f t="shared" si="4"/>
        <v>1857</v>
      </c>
      <c r="K22" s="192">
        <f t="shared" si="2"/>
        <v>1520</v>
      </c>
      <c r="L22" s="193"/>
      <c r="M22" s="177">
        <v>50.0</v>
      </c>
      <c r="N22" s="185"/>
      <c r="O22" s="183">
        <v>0.0</v>
      </c>
      <c r="P22" s="183">
        <v>0.0</v>
      </c>
      <c r="Q22" s="183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45914.0</v>
      </c>
      <c r="C23" s="56"/>
      <c r="D23" s="56"/>
      <c r="E23" s="56"/>
      <c r="F23" s="7"/>
      <c r="G23" s="174"/>
      <c r="H23" s="194"/>
      <c r="I23" s="173"/>
      <c r="J23" s="173"/>
      <c r="K23" s="173"/>
      <c r="L23" s="193"/>
      <c r="M23" s="177">
        <v>51.0</v>
      </c>
      <c r="N23" s="182" t="s">
        <v>104</v>
      </c>
      <c r="O23" s="183">
        <v>0.0</v>
      </c>
      <c r="P23" s="183">
        <f>SUMIF(E$10:E$144,"51",D$10:D$144)</f>
        <v>0</v>
      </c>
      <c r="Q23" s="183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45915.0</v>
      </c>
      <c r="C24" s="56"/>
      <c r="D24" s="56"/>
      <c r="E24" s="56"/>
      <c r="F24" s="7"/>
      <c r="G24" s="174"/>
      <c r="H24" s="195" t="s">
        <v>35</v>
      </c>
      <c r="I24" s="172" t="s">
        <v>1</v>
      </c>
      <c r="J24" s="172" t="s">
        <v>2</v>
      </c>
      <c r="K24" s="172" t="s">
        <v>3</v>
      </c>
      <c r="L24" s="193"/>
      <c r="M24" s="174"/>
      <c r="N24" s="196" t="s">
        <v>34</v>
      </c>
      <c r="O24" s="192">
        <f t="shared" ref="O24:P24" si="5">SUM(O12:O23)</f>
        <v>916</v>
      </c>
      <c r="P24" s="192">
        <f t="shared" si="5"/>
        <v>428</v>
      </c>
      <c r="Q24" s="192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45916.0</v>
      </c>
      <c r="C25" s="56"/>
      <c r="D25" s="56"/>
      <c r="E25" s="56"/>
      <c r="F25" s="7"/>
      <c r="G25" s="177">
        <v>11.0</v>
      </c>
      <c r="H25" s="182" t="s">
        <v>36</v>
      </c>
      <c r="I25" s="179">
        <v>450.0</v>
      </c>
      <c r="J25" s="179">
        <v>450.0</v>
      </c>
      <c r="K25" s="179">
        <f t="shared" ref="K25:K29" si="6">+I25-J25</f>
        <v>0</v>
      </c>
      <c r="L25" s="197"/>
      <c r="M25" s="198"/>
      <c r="N25" s="174"/>
      <c r="O25" s="174"/>
      <c r="P25" s="174"/>
      <c r="Q25" s="174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45917.0</v>
      </c>
      <c r="C26" s="56"/>
      <c r="D26" s="56"/>
      <c r="E26" s="56"/>
      <c r="F26" s="7"/>
      <c r="G26" s="177">
        <v>12.0</v>
      </c>
      <c r="H26" s="182" t="s">
        <v>37</v>
      </c>
      <c r="I26" s="183">
        <v>140.0</v>
      </c>
      <c r="J26" s="183">
        <v>140.0</v>
      </c>
      <c r="K26" s="183">
        <f t="shared" si="6"/>
        <v>0</v>
      </c>
      <c r="L26" s="197"/>
      <c r="M26" s="174"/>
      <c r="N26" s="199" t="s">
        <v>38</v>
      </c>
      <c r="O26" s="172" t="s">
        <v>1</v>
      </c>
      <c r="P26" s="172" t="s">
        <v>2</v>
      </c>
      <c r="Q26" s="172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45918.0</v>
      </c>
      <c r="C27" s="56"/>
      <c r="D27" s="56"/>
      <c r="E27" s="56"/>
      <c r="F27" s="7"/>
      <c r="G27" s="177">
        <v>13.0</v>
      </c>
      <c r="H27" s="182" t="s">
        <v>39</v>
      </c>
      <c r="I27" s="183">
        <v>100.0</v>
      </c>
      <c r="J27" s="183">
        <v>250.0</v>
      </c>
      <c r="K27" s="183">
        <f t="shared" si="6"/>
        <v>-150</v>
      </c>
      <c r="L27" s="197"/>
      <c r="M27" s="200">
        <v>52.0</v>
      </c>
      <c r="N27" s="182" t="s">
        <v>40</v>
      </c>
      <c r="O27" s="179">
        <v>0.0</v>
      </c>
      <c r="P27" s="179">
        <f>SUMIF(E$10:E$144,"52",D$10:D$144)</f>
        <v>0</v>
      </c>
      <c r="Q27" s="179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45919.0</v>
      </c>
      <c r="C28" s="56"/>
      <c r="D28" s="56"/>
      <c r="E28" s="56"/>
      <c r="F28" s="7"/>
      <c r="G28" s="177">
        <v>14.0</v>
      </c>
      <c r="H28" s="182" t="s">
        <v>41</v>
      </c>
      <c r="I28" s="183">
        <v>140.0</v>
      </c>
      <c r="J28" s="183">
        <f>SUMIF(E$10:E$144,"14",D$10:D$144)</f>
        <v>0</v>
      </c>
      <c r="K28" s="183">
        <f t="shared" si="6"/>
        <v>140</v>
      </c>
      <c r="L28" s="197"/>
      <c r="M28" s="201">
        <v>53.0</v>
      </c>
      <c r="N28" s="182" t="s">
        <v>42</v>
      </c>
      <c r="O28" s="183">
        <v>0.0</v>
      </c>
      <c r="P28" s="183">
        <f>SUMIF(E$10:E$144,"53",D$10:D$144)</f>
        <v>0</v>
      </c>
      <c r="Q28" s="183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45920.0</v>
      </c>
      <c r="C29" s="56"/>
      <c r="D29" s="56"/>
      <c r="E29" s="56"/>
      <c r="F29" s="7"/>
      <c r="G29" s="174"/>
      <c r="H29" s="191" t="s">
        <v>34</v>
      </c>
      <c r="I29" s="192">
        <f t="shared" ref="I29:J29" si="8">SUM(I25:I28)</f>
        <v>830</v>
      </c>
      <c r="J29" s="192">
        <f t="shared" si="8"/>
        <v>840</v>
      </c>
      <c r="K29" s="192">
        <f t="shared" si="6"/>
        <v>-10</v>
      </c>
      <c r="L29" s="202"/>
      <c r="M29" s="181">
        <v>54.0</v>
      </c>
      <c r="N29" s="182" t="s">
        <v>43</v>
      </c>
      <c r="O29" s="183">
        <v>0.0</v>
      </c>
      <c r="P29" s="183">
        <f>SUMIF(E$10:E$144,"54",D$10:D$144)</f>
        <v>0</v>
      </c>
      <c r="Q29" s="183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45921.0</v>
      </c>
      <c r="C30" s="56"/>
      <c r="D30" s="56"/>
      <c r="E30" s="56"/>
      <c r="F30" s="7"/>
      <c r="G30" s="174"/>
      <c r="H30" s="180"/>
      <c r="I30" s="193"/>
      <c r="J30" s="193"/>
      <c r="K30" s="193"/>
      <c r="L30" s="173"/>
      <c r="M30" s="177">
        <v>55.0</v>
      </c>
      <c r="N30" s="182" t="s">
        <v>44</v>
      </c>
      <c r="O30" s="183">
        <v>140.0</v>
      </c>
      <c r="P30" s="183">
        <f>SUMIF(E$10:E$144,"55",D$10:D$144)</f>
        <v>0</v>
      </c>
      <c r="Q30" s="183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45922.0</v>
      </c>
      <c r="C31" s="56"/>
      <c r="D31" s="56"/>
      <c r="E31" s="56"/>
      <c r="F31" s="7"/>
      <c r="G31" s="174"/>
      <c r="H31" s="195" t="s">
        <v>45</v>
      </c>
      <c r="I31" s="172" t="s">
        <v>1</v>
      </c>
      <c r="J31" s="172" t="s">
        <v>2</v>
      </c>
      <c r="K31" s="172" t="s">
        <v>3</v>
      </c>
      <c r="L31" s="193"/>
      <c r="M31" s="177">
        <v>56.0</v>
      </c>
      <c r="N31" s="182" t="s">
        <v>46</v>
      </c>
      <c r="O31" s="183">
        <v>0.0</v>
      </c>
      <c r="P31" s="183">
        <f>SUMIF(E$10:E$144,"56",D$10:D$144)</f>
        <v>0</v>
      </c>
      <c r="Q31" s="183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45923.0</v>
      </c>
      <c r="C32" s="56"/>
      <c r="D32" s="56"/>
      <c r="E32" s="56"/>
      <c r="F32" s="7"/>
      <c r="G32" s="177">
        <v>15.0</v>
      </c>
      <c r="H32" s="182" t="s">
        <v>47</v>
      </c>
      <c r="I32" s="179">
        <v>45.0</v>
      </c>
      <c r="J32" s="179">
        <v>45.0</v>
      </c>
      <c r="K32" s="179">
        <f t="shared" ref="K32:K38" si="9">+I32-J32</f>
        <v>0</v>
      </c>
      <c r="L32" s="193"/>
      <c r="M32" s="177">
        <v>57.0</v>
      </c>
      <c r="N32" s="182" t="s">
        <v>48</v>
      </c>
      <c r="O32" s="183">
        <v>0.0</v>
      </c>
      <c r="P32" s="183">
        <f>SUMIF(E$10:E$144,"57",D$10:D$144)</f>
        <v>0</v>
      </c>
      <c r="Q32" s="183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45924.0</v>
      </c>
      <c r="C33" s="56"/>
      <c r="D33" s="56"/>
      <c r="E33" s="56"/>
      <c r="F33" s="7"/>
      <c r="G33" s="177">
        <v>16.0</v>
      </c>
      <c r="H33" s="182" t="s">
        <v>49</v>
      </c>
      <c r="I33" s="183">
        <v>89.0</v>
      </c>
      <c r="J33" s="183">
        <v>89.0</v>
      </c>
      <c r="K33" s="183">
        <f t="shared" si="9"/>
        <v>0</v>
      </c>
      <c r="L33" s="193"/>
      <c r="M33" s="177">
        <v>58.0</v>
      </c>
      <c r="N33" s="182" t="s">
        <v>50</v>
      </c>
      <c r="O33" s="183">
        <v>0.0</v>
      </c>
      <c r="P33" s="183">
        <f>SUMIF(E$10:E$144,"58",D$10:D$144)</f>
        <v>0</v>
      </c>
      <c r="Q33" s="183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45925.0</v>
      </c>
      <c r="C34" s="56"/>
      <c r="D34" s="56"/>
      <c r="E34" s="56"/>
      <c r="F34" s="7"/>
      <c r="G34" s="177">
        <v>17.0</v>
      </c>
      <c r="H34" s="182" t="s">
        <v>51</v>
      </c>
      <c r="I34" s="183">
        <v>24.0</v>
      </c>
      <c r="J34" s="183">
        <v>24.0</v>
      </c>
      <c r="K34" s="183">
        <f t="shared" si="9"/>
        <v>0</v>
      </c>
      <c r="L34" s="193"/>
      <c r="M34" s="174"/>
      <c r="N34" s="196" t="s">
        <v>34</v>
      </c>
      <c r="O34" s="192">
        <f t="shared" ref="O34:P34" si="10">SUM(O27:O33)</f>
        <v>140</v>
      </c>
      <c r="P34" s="192">
        <f t="shared" si="10"/>
        <v>0</v>
      </c>
      <c r="Q34" s="192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39">
        <v>45926.0</v>
      </c>
      <c r="C35" s="56"/>
      <c r="D35" s="56"/>
      <c r="E35" s="56"/>
      <c r="F35" s="7"/>
      <c r="G35" s="177">
        <v>18.0</v>
      </c>
      <c r="H35" s="185" t="s">
        <v>52</v>
      </c>
      <c r="I35" s="183">
        <v>21.9</v>
      </c>
      <c r="J35" s="183">
        <v>22.0</v>
      </c>
      <c r="K35" s="183">
        <f t="shared" si="9"/>
        <v>-0.1</v>
      </c>
      <c r="L35" s="193"/>
      <c r="M35" s="203"/>
      <c r="N35" s="174"/>
      <c r="O35" s="174"/>
      <c r="P35" s="174"/>
      <c r="Q35" s="174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39">
        <v>45927.0</v>
      </c>
      <c r="C36" s="56"/>
      <c r="D36" s="56"/>
      <c r="E36" s="56"/>
      <c r="F36" s="7"/>
      <c r="G36" s="177">
        <v>19.0</v>
      </c>
      <c r="H36" s="182" t="s">
        <v>53</v>
      </c>
      <c r="I36" s="183">
        <v>10.9</v>
      </c>
      <c r="J36" s="183">
        <v>11.0</v>
      </c>
      <c r="K36" s="183">
        <f t="shared" si="9"/>
        <v>-0.1</v>
      </c>
      <c r="L36" s="193"/>
      <c r="M36" s="174"/>
      <c r="N36" s="175" t="s">
        <v>54</v>
      </c>
      <c r="O36" s="176" t="s">
        <v>1</v>
      </c>
      <c r="P36" s="172" t="s">
        <v>2</v>
      </c>
      <c r="Q36" s="172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39">
        <v>45928.0</v>
      </c>
      <c r="C37" s="56"/>
      <c r="D37" s="56"/>
      <c r="E37" s="56"/>
      <c r="F37" s="7"/>
      <c r="G37" s="177">
        <v>20.0</v>
      </c>
      <c r="H37" s="182" t="s">
        <v>55</v>
      </c>
      <c r="I37" s="183">
        <v>34.5</v>
      </c>
      <c r="J37" s="183">
        <v>45.0</v>
      </c>
      <c r="K37" s="183">
        <f t="shared" si="9"/>
        <v>-10.5</v>
      </c>
      <c r="L37" s="193"/>
      <c r="M37" s="181">
        <v>60.0</v>
      </c>
      <c r="N37" s="178" t="s">
        <v>56</v>
      </c>
      <c r="O37" s="179">
        <v>450.0</v>
      </c>
      <c r="P37" s="179">
        <f>SUMIF(E$10:E$144,"60",D$10:D$144)</f>
        <v>0</v>
      </c>
      <c r="Q37" s="179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39">
        <v>45929.0</v>
      </c>
      <c r="C38" s="56"/>
      <c r="D38" s="56"/>
      <c r="E38" s="56"/>
      <c r="F38" s="7"/>
      <c r="G38" s="174"/>
      <c r="H38" s="191" t="s">
        <v>34</v>
      </c>
      <c r="I38" s="192">
        <f t="shared" ref="I38:J38" si="11">SUM(I32:I37)</f>
        <v>225.3</v>
      </c>
      <c r="J38" s="192">
        <f t="shared" si="11"/>
        <v>236</v>
      </c>
      <c r="K38" s="192">
        <f t="shared" si="9"/>
        <v>-10.7</v>
      </c>
      <c r="L38" s="193"/>
      <c r="M38" s="177">
        <v>61.0</v>
      </c>
      <c r="N38" s="182" t="s">
        <v>57</v>
      </c>
      <c r="O38" s="183">
        <v>0.0</v>
      </c>
      <c r="P38" s="183">
        <f>SUMIF(E$10:E$144,"61",D$10:D$144)</f>
        <v>0</v>
      </c>
      <c r="Q38" s="183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39">
        <v>45930.0</v>
      </c>
      <c r="C39" s="56"/>
      <c r="D39" s="56"/>
      <c r="E39" s="56"/>
      <c r="F39" s="7"/>
      <c r="G39" s="174"/>
      <c r="H39" s="174"/>
      <c r="I39" s="174"/>
      <c r="J39" s="174"/>
      <c r="K39" s="174"/>
      <c r="L39" s="193"/>
      <c r="M39" s="177">
        <v>62.0</v>
      </c>
      <c r="N39" s="182" t="s">
        <v>58</v>
      </c>
      <c r="O39" s="183">
        <v>120.0</v>
      </c>
      <c r="P39" s="183">
        <f>SUMIF(E$10:E$144,"62",D$10:D$144)</f>
        <v>0</v>
      </c>
      <c r="Q39" s="183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39"/>
      <c r="C40" s="56"/>
      <c r="D40" s="56"/>
      <c r="E40" s="56"/>
      <c r="F40" s="7"/>
      <c r="G40" s="174"/>
      <c r="H40" s="195" t="s">
        <v>59</v>
      </c>
      <c r="I40" s="172" t="s">
        <v>1</v>
      </c>
      <c r="J40" s="172" t="s">
        <v>2</v>
      </c>
      <c r="K40" s="172" t="s">
        <v>3</v>
      </c>
      <c r="L40" s="193"/>
      <c r="M40" s="177">
        <v>63.0</v>
      </c>
      <c r="N40" s="182" t="s">
        <v>60</v>
      </c>
      <c r="O40" s="183">
        <v>148.0</v>
      </c>
      <c r="P40" s="183">
        <f>SUMIF(E$10:E$144,"63",D$10:D$144)</f>
        <v>0</v>
      </c>
      <c r="Q40" s="183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15"/>
      <c r="C41" s="56"/>
      <c r="D41" s="56"/>
      <c r="E41" s="56"/>
      <c r="F41" s="7"/>
      <c r="G41" s="177">
        <v>21.0</v>
      </c>
      <c r="H41" s="182" t="s">
        <v>61</v>
      </c>
      <c r="I41" s="179">
        <v>120.0</v>
      </c>
      <c r="J41" s="179">
        <f>SUMIF(E$10:E$144,"21",D$10:D$144)</f>
        <v>0</v>
      </c>
      <c r="K41" s="179">
        <f t="shared" ref="K41:K51" si="13">+I41-J41</f>
        <v>120</v>
      </c>
      <c r="L41" s="204"/>
      <c r="M41" s="177">
        <v>64.0</v>
      </c>
      <c r="N41" s="182" t="s">
        <v>62</v>
      </c>
      <c r="O41" s="183">
        <v>60.0</v>
      </c>
      <c r="P41" s="183">
        <f>SUMIF(E$10:E$144,"64",D$10:D$144)</f>
        <v>0</v>
      </c>
      <c r="Q41" s="183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15"/>
      <c r="C42" s="56"/>
      <c r="D42" s="56"/>
      <c r="E42" s="56"/>
      <c r="F42" s="7"/>
      <c r="G42" s="177">
        <v>22.0</v>
      </c>
      <c r="H42" s="182" t="s">
        <v>63</v>
      </c>
      <c r="I42" s="183">
        <v>120.0</v>
      </c>
      <c r="J42" s="183">
        <f>SUMIF(E$10:E$144,"22",D$10:D$144)</f>
        <v>0</v>
      </c>
      <c r="K42" s="183">
        <f t="shared" si="13"/>
        <v>120</v>
      </c>
      <c r="L42" s="174"/>
      <c r="M42" s="174"/>
      <c r="N42" s="191" t="s">
        <v>34</v>
      </c>
      <c r="O42" s="192">
        <f t="shared" ref="O42:P42" si="14">SUM(O37:O41)</f>
        <v>778</v>
      </c>
      <c r="P42" s="192">
        <f t="shared" si="14"/>
        <v>0</v>
      </c>
      <c r="Q42" s="192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15"/>
      <c r="C43" s="56"/>
      <c r="D43" s="56"/>
      <c r="E43" s="56"/>
      <c r="F43" s="7"/>
      <c r="G43" s="177">
        <v>23.0</v>
      </c>
      <c r="H43" s="182" t="s">
        <v>64</v>
      </c>
      <c r="I43" s="183">
        <v>100.0</v>
      </c>
      <c r="J43" s="183">
        <f>SUMIF(E$10:E$144,"23",D$10:D$144)</f>
        <v>0</v>
      </c>
      <c r="K43" s="183">
        <f t="shared" si="13"/>
        <v>100</v>
      </c>
      <c r="L43" s="174"/>
      <c r="M43" s="174"/>
      <c r="N43" s="174"/>
      <c r="O43" s="174"/>
      <c r="P43" s="174"/>
      <c r="Q43" s="174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7"/>
      <c r="G44" s="177">
        <v>24.0</v>
      </c>
      <c r="H44" s="182" t="s">
        <v>65</v>
      </c>
      <c r="I44" s="183">
        <v>100.0</v>
      </c>
      <c r="J44" s="183">
        <f>SUMIF(E$10:E$144,"24",D$10:D$144)</f>
        <v>0</v>
      </c>
      <c r="K44" s="183">
        <f t="shared" si="13"/>
        <v>100</v>
      </c>
      <c r="L44" s="174"/>
      <c r="M44" s="174"/>
      <c r="N44" s="195" t="s">
        <v>66</v>
      </c>
      <c r="O44" s="172" t="s">
        <v>1</v>
      </c>
      <c r="P44" s="172" t="s">
        <v>2</v>
      </c>
      <c r="Q44" s="172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7"/>
      <c r="G45" s="177">
        <v>25.0</v>
      </c>
      <c r="H45" s="182" t="s">
        <v>67</v>
      </c>
      <c r="I45" s="183">
        <v>150.0</v>
      </c>
      <c r="J45" s="183">
        <f>SUMIF(E$10:E$144,"25",D$10:D$144)</f>
        <v>0</v>
      </c>
      <c r="K45" s="183">
        <f t="shared" si="13"/>
        <v>150</v>
      </c>
      <c r="L45" s="174"/>
      <c r="M45" s="177">
        <v>70.0</v>
      </c>
      <c r="N45" s="182" t="s">
        <v>68</v>
      </c>
      <c r="O45" s="183">
        <v>0.0</v>
      </c>
      <c r="P45" s="183">
        <f>SUMIF(E$10:E$144,"70",D$10:D$144)</f>
        <v>0</v>
      </c>
      <c r="Q45" s="183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77">
        <v>26.0</v>
      </c>
      <c r="H46" s="182" t="s">
        <v>69</v>
      </c>
      <c r="I46" s="183">
        <v>0.0</v>
      </c>
      <c r="J46" s="183">
        <f>SUMIF(E$10:E$144,"26",D$10:D$144)</f>
        <v>0</v>
      </c>
      <c r="K46" s="183">
        <f t="shared" si="13"/>
        <v>0</v>
      </c>
      <c r="L46" s="174"/>
      <c r="M46" s="177">
        <v>71.0</v>
      </c>
      <c r="N46" s="182" t="s">
        <v>70</v>
      </c>
      <c r="O46" s="183">
        <v>0.0</v>
      </c>
      <c r="P46" s="183">
        <f>SUMIF(E$10:E$144,"71",D$10:D$144)</f>
        <v>0</v>
      </c>
      <c r="Q46" s="183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77">
        <v>27.0</v>
      </c>
      <c r="H47" s="182" t="s">
        <v>71</v>
      </c>
      <c r="I47" s="183">
        <v>89.0</v>
      </c>
      <c r="J47" s="183">
        <f>SUMIF(E$10:E$144,"27",D$10:D$144)</f>
        <v>0</v>
      </c>
      <c r="K47" s="183">
        <f t="shared" si="13"/>
        <v>89</v>
      </c>
      <c r="L47" s="174"/>
      <c r="M47" s="177">
        <v>72.0</v>
      </c>
      <c r="N47" s="182" t="s">
        <v>72</v>
      </c>
      <c r="O47" s="183">
        <v>0.0</v>
      </c>
      <c r="P47" s="183">
        <f>SUMIF(E$10:E$144,"72",D$10:D$144)</f>
        <v>0</v>
      </c>
      <c r="Q47" s="183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77">
        <v>28.0</v>
      </c>
      <c r="H48" s="182" t="s">
        <v>73</v>
      </c>
      <c r="I48" s="183">
        <v>0.0</v>
      </c>
      <c r="J48" s="183">
        <f>SUMIF(E$10:E$144,"28",D$10:D$144)</f>
        <v>0</v>
      </c>
      <c r="K48" s="183">
        <f t="shared" si="13"/>
        <v>0</v>
      </c>
      <c r="L48" s="174"/>
      <c r="M48" s="177">
        <v>73.0</v>
      </c>
      <c r="N48" s="182" t="s">
        <v>74</v>
      </c>
      <c r="O48" s="183">
        <v>0.0</v>
      </c>
      <c r="P48" s="183">
        <f>SUMIF(E$10:E$144,"73",D$10:D$144)</f>
        <v>0</v>
      </c>
      <c r="Q48" s="183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77">
        <v>29.0</v>
      </c>
      <c r="H49" s="182" t="s">
        <v>75</v>
      </c>
      <c r="I49" s="183">
        <v>0.0</v>
      </c>
      <c r="J49" s="183">
        <f>SUMIF(E$10:E$144,"29",D$10:D$144)</f>
        <v>0</v>
      </c>
      <c r="K49" s="183">
        <f t="shared" si="13"/>
        <v>0</v>
      </c>
      <c r="L49" s="174"/>
      <c r="M49" s="177">
        <v>74.0</v>
      </c>
      <c r="N49" s="182" t="s">
        <v>76</v>
      </c>
      <c r="O49" s="183">
        <v>0.0</v>
      </c>
      <c r="P49" s="183">
        <f>SUMIF(E$10:E$144,"74",D$10:D$144)</f>
        <v>0</v>
      </c>
      <c r="Q49" s="183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77">
        <v>30.0</v>
      </c>
      <c r="H50" s="182" t="s">
        <v>77</v>
      </c>
      <c r="I50" s="183">
        <v>0.0</v>
      </c>
      <c r="J50" s="183">
        <f>SUMIF(E$10:E$144,"30",D$10:D$144)</f>
        <v>0</v>
      </c>
      <c r="K50" s="183">
        <f t="shared" si="13"/>
        <v>0</v>
      </c>
      <c r="L50" s="174"/>
      <c r="M50" s="177">
        <v>75.0</v>
      </c>
      <c r="N50" s="182" t="s">
        <v>78</v>
      </c>
      <c r="O50" s="183">
        <v>0.0</v>
      </c>
      <c r="P50" s="183">
        <f>SUMIF(E$10:E$144,"75",D$10:D$144)</f>
        <v>0</v>
      </c>
      <c r="Q50" s="183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74"/>
      <c r="H51" s="191" t="s">
        <v>34</v>
      </c>
      <c r="I51" s="192">
        <f t="shared" ref="I51:J51" si="16">SUM(I41:I50)</f>
        <v>679</v>
      </c>
      <c r="J51" s="192">
        <f t="shared" si="16"/>
        <v>0</v>
      </c>
      <c r="K51" s="192">
        <f t="shared" si="13"/>
        <v>679</v>
      </c>
      <c r="L51" s="174"/>
      <c r="M51" s="177">
        <v>76.0</v>
      </c>
      <c r="N51" s="182" t="s">
        <v>79</v>
      </c>
      <c r="O51" s="183">
        <v>0.0</v>
      </c>
      <c r="P51" s="183">
        <f>SUMIF(E$10:E$144,"76",D$10:D$144)</f>
        <v>0</v>
      </c>
      <c r="Q51" s="183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174"/>
      <c r="H52" s="174"/>
      <c r="I52" s="174"/>
      <c r="J52" s="174"/>
      <c r="K52" s="174"/>
      <c r="L52" s="174"/>
      <c r="M52" s="174"/>
      <c r="N52" s="191" t="s">
        <v>34</v>
      </c>
      <c r="O52" s="192">
        <f t="shared" ref="O52:P52" si="17">SUM(O45:O51)</f>
        <v>0</v>
      </c>
      <c r="P52" s="192">
        <f t="shared" si="17"/>
        <v>0</v>
      </c>
      <c r="Q52" s="192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174"/>
      <c r="H53" s="195" t="s">
        <v>80</v>
      </c>
      <c r="I53" s="172" t="s">
        <v>1</v>
      </c>
      <c r="J53" s="172" t="s">
        <v>2</v>
      </c>
      <c r="K53" s="172" t="s">
        <v>3</v>
      </c>
      <c r="L53" s="174"/>
      <c r="M53" s="174"/>
      <c r="N53" s="174"/>
      <c r="O53" s="174"/>
      <c r="P53" s="174"/>
      <c r="Q53" s="174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177">
        <v>31.0</v>
      </c>
      <c r="H54" s="182" t="s">
        <v>81</v>
      </c>
      <c r="I54" s="183">
        <v>39.0</v>
      </c>
      <c r="J54" s="183">
        <f>SUMIF(E$10:E$144,"31",D$10:D$144)</f>
        <v>0</v>
      </c>
      <c r="K54" s="183">
        <f t="shared" ref="K54:K57" si="18">+I54-J54</f>
        <v>39</v>
      </c>
      <c r="L54" s="174"/>
      <c r="M54" s="174"/>
      <c r="N54" s="195" t="s">
        <v>105</v>
      </c>
      <c r="O54" s="172" t="s">
        <v>1</v>
      </c>
      <c r="P54" s="172" t="s">
        <v>2</v>
      </c>
      <c r="Q54" s="172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77">
        <v>32.0</v>
      </c>
      <c r="H55" s="182" t="s">
        <v>83</v>
      </c>
      <c r="I55" s="183">
        <v>0.0</v>
      </c>
      <c r="J55" s="183">
        <f>SUMIF(E$10:E$144,"32",D$10:D$144)</f>
        <v>0</v>
      </c>
      <c r="K55" s="183">
        <f t="shared" si="18"/>
        <v>0</v>
      </c>
      <c r="L55" s="174"/>
      <c r="M55" s="177">
        <v>80.0</v>
      </c>
      <c r="N55" s="182" t="s">
        <v>106</v>
      </c>
      <c r="O55" s="179">
        <v>89.0</v>
      </c>
      <c r="P55" s="179">
        <f>SUMIF(E$10:E$144,"80",D$10:D$144)</f>
        <v>0</v>
      </c>
      <c r="Q55" s="179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77">
        <v>33.0</v>
      </c>
      <c r="H56" s="182" t="s">
        <v>85</v>
      </c>
      <c r="I56" s="183">
        <v>0.0</v>
      </c>
      <c r="J56" s="183">
        <f>SUMIF(E$10:E$144,"33",D$10:D$144)</f>
        <v>0</v>
      </c>
      <c r="K56" s="183">
        <f t="shared" si="18"/>
        <v>0</v>
      </c>
      <c r="L56" s="174"/>
      <c r="M56" s="177">
        <v>81.0</v>
      </c>
      <c r="N56" s="182" t="s">
        <v>107</v>
      </c>
      <c r="O56" s="183">
        <v>0.0</v>
      </c>
      <c r="P56" s="183">
        <f>SUMIF(E$10:E$144,"81",D$10:D$144)</f>
        <v>0</v>
      </c>
      <c r="Q56" s="183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74"/>
      <c r="H57" s="191" t="s">
        <v>34</v>
      </c>
      <c r="I57" s="192">
        <f t="shared" ref="I57:J57" si="20">SUM(I54:I56)</f>
        <v>39</v>
      </c>
      <c r="J57" s="192">
        <f t="shared" si="20"/>
        <v>0</v>
      </c>
      <c r="K57" s="192">
        <f t="shared" si="18"/>
        <v>39</v>
      </c>
      <c r="L57" s="174"/>
      <c r="M57" s="177">
        <v>82.0</v>
      </c>
      <c r="N57" s="182" t="s">
        <v>108</v>
      </c>
      <c r="O57" s="183">
        <v>140.0</v>
      </c>
      <c r="P57" s="183">
        <f>SUMIF(E$10:E$144,"82",D$10:D$144)</f>
        <v>0</v>
      </c>
      <c r="Q57" s="183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174"/>
      <c r="H58" s="174"/>
      <c r="I58" s="174"/>
      <c r="J58" s="174"/>
      <c r="K58" s="174"/>
      <c r="L58" s="174"/>
      <c r="M58" s="177">
        <v>83.0</v>
      </c>
      <c r="N58" s="182" t="s">
        <v>109</v>
      </c>
      <c r="O58" s="183">
        <v>0.0</v>
      </c>
      <c r="P58" s="183">
        <f>SUMIF(E$10:E$144,"83",D$10:D$144)</f>
        <v>0</v>
      </c>
      <c r="Q58" s="183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74"/>
      <c r="H59" s="195" t="s">
        <v>110</v>
      </c>
      <c r="I59" s="172" t="s">
        <v>1</v>
      </c>
      <c r="J59" s="172" t="s">
        <v>90</v>
      </c>
      <c r="K59" s="172" t="s">
        <v>91</v>
      </c>
      <c r="L59" s="174"/>
      <c r="M59" s="174"/>
      <c r="N59" s="191" t="s">
        <v>34</v>
      </c>
      <c r="O59" s="192">
        <f t="shared" ref="O59:P59" si="21">SUM(O55:O58)</f>
        <v>229</v>
      </c>
      <c r="P59" s="192">
        <f t="shared" si="21"/>
        <v>0</v>
      </c>
      <c r="Q59" s="192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77">
        <v>34.0</v>
      </c>
      <c r="H60" s="182" t="s">
        <v>93</v>
      </c>
      <c r="I60" s="179">
        <v>1200.0</v>
      </c>
      <c r="J60" s="179">
        <f>SUMIF(E$10:E$144,"34",D$10:D$144)</f>
        <v>0</v>
      </c>
      <c r="K60" s="179">
        <f>+I60-O620</f>
        <v>1200</v>
      </c>
      <c r="L60" s="174"/>
      <c r="M60" s="174"/>
      <c r="N60" s="174"/>
      <c r="O60" s="174"/>
      <c r="P60" s="174"/>
      <c r="Q60" s="174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77">
        <v>35.0</v>
      </c>
      <c r="H61" s="182" t="s">
        <v>94</v>
      </c>
      <c r="I61" s="183">
        <v>1200.0</v>
      </c>
      <c r="J61" s="183">
        <f>SUMIF(E$10:E$144,"35",D$10:D$144)</f>
        <v>0</v>
      </c>
      <c r="K61" s="183">
        <f t="shared" ref="K61:K64" si="22">+I61-J61</f>
        <v>1200</v>
      </c>
      <c r="L61" s="174"/>
      <c r="M61" s="174"/>
      <c r="N61" s="195" t="s">
        <v>111</v>
      </c>
      <c r="O61" s="172" t="s">
        <v>1</v>
      </c>
      <c r="P61" s="172" t="s">
        <v>2</v>
      </c>
      <c r="Q61" s="172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77">
        <v>36.0</v>
      </c>
      <c r="H62" s="182" t="s">
        <v>96</v>
      </c>
      <c r="I62" s="183">
        <v>1200.0</v>
      </c>
      <c r="J62" s="183">
        <f>SUMIF(E$10:E$144,"36",D$10:D$144)</f>
        <v>0</v>
      </c>
      <c r="K62" s="183">
        <f t="shared" si="22"/>
        <v>1200</v>
      </c>
      <c r="L62" s="174"/>
      <c r="M62" s="177">
        <v>90.0</v>
      </c>
      <c r="N62" s="182" t="s">
        <v>97</v>
      </c>
      <c r="O62" s="183">
        <v>0.0</v>
      </c>
      <c r="P62" s="183">
        <f>SUMIF(E$10:E$144,"90",D$10:D$144)</f>
        <v>0</v>
      </c>
      <c r="Q62" s="183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77">
        <v>37.0</v>
      </c>
      <c r="H63" s="182" t="s">
        <v>100</v>
      </c>
      <c r="I63" s="183">
        <v>1200.0</v>
      </c>
      <c r="J63" s="183">
        <f>SUMIF(E$10:E$144,"37",D$10:D$144)</f>
        <v>0</v>
      </c>
      <c r="K63" s="183">
        <f t="shared" si="22"/>
        <v>1200</v>
      </c>
      <c r="L63" s="174"/>
      <c r="M63" s="177">
        <v>91.0</v>
      </c>
      <c r="N63" s="182" t="s">
        <v>101</v>
      </c>
      <c r="O63" s="183">
        <v>0.0</v>
      </c>
      <c r="P63" s="183">
        <f>SUMIF(E$10:E$144,"91",D$10:D$144)</f>
        <v>0</v>
      </c>
      <c r="Q63" s="183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7"/>
      <c r="G64" s="174"/>
      <c r="H64" s="191" t="s">
        <v>34</v>
      </c>
      <c r="I64" s="192">
        <f t="shared" ref="I64:J64" si="24">SUM(I60:I63)</f>
        <v>4800</v>
      </c>
      <c r="J64" s="192">
        <f t="shared" si="24"/>
        <v>0</v>
      </c>
      <c r="K64" s="192">
        <f t="shared" si="22"/>
        <v>4800</v>
      </c>
      <c r="L64" s="174"/>
      <c r="M64" s="177">
        <v>92.0</v>
      </c>
      <c r="N64" s="182" t="s">
        <v>102</v>
      </c>
      <c r="O64" s="183">
        <v>0.0</v>
      </c>
      <c r="P64" s="183">
        <f>SUMIF(E$10:E$144,"92",D$10:D$144)</f>
        <v>0</v>
      </c>
      <c r="Q64" s="183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7"/>
      <c r="G65" s="174"/>
      <c r="H65" s="174"/>
      <c r="I65" s="174"/>
      <c r="J65" s="174"/>
      <c r="K65" s="174"/>
      <c r="L65" s="174"/>
      <c r="M65" s="174"/>
      <c r="N65" s="191" t="s">
        <v>34</v>
      </c>
      <c r="O65" s="192">
        <f t="shared" ref="O65:P65" si="25">SUM(O62:O64)</f>
        <v>0</v>
      </c>
      <c r="P65" s="192">
        <f t="shared" si="25"/>
        <v>0</v>
      </c>
      <c r="Q65" s="192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15"/>
      <c r="C97" s="56"/>
      <c r="D97" s="56"/>
      <c r="E97" s="5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109"/>
      <c r="C128" s="109"/>
      <c r="D128" s="109"/>
      <c r="E128" s="109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138"/>
      <c r="H1000" s="6"/>
      <c r="I1000" s="6"/>
      <c r="J1000" s="6"/>
      <c r="K1000" s="6"/>
      <c r="L1000" s="6"/>
      <c r="M1000" s="138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10:E95">
    <cfRule type="cellIs" dxfId="0" priority="1" operator="notBetween">
      <formula>0</formula>
      <formula>100</formula>
    </cfRule>
  </conditionalFormatting>
  <conditionalFormatting sqref="E96:E97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167" t="s">
        <v>113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05" t="s">
        <v>6</v>
      </c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206" t="s">
        <v>9</v>
      </c>
      <c r="C8" s="206" t="s">
        <v>10</v>
      </c>
      <c r="D8" s="207" t="s">
        <v>11</v>
      </c>
      <c r="E8" s="206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208"/>
      <c r="C9" s="208"/>
      <c r="D9" s="209">
        <f>SUM(D10:D107)</f>
        <v>0</v>
      </c>
      <c r="E9" s="208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210">
        <v>45566.0</v>
      </c>
      <c r="C10" s="211"/>
      <c r="D10" s="211"/>
      <c r="E10" s="211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45567.0</v>
      </c>
      <c r="C11" s="56"/>
      <c r="D11" s="56"/>
      <c r="E11" s="56"/>
      <c r="F11" s="7"/>
      <c r="G11" s="170"/>
      <c r="H11" s="171" t="s">
        <v>14</v>
      </c>
      <c r="I11" s="172" t="s">
        <v>1</v>
      </c>
      <c r="J11" s="172" t="s">
        <v>2</v>
      </c>
      <c r="K11" s="172" t="s">
        <v>3</v>
      </c>
      <c r="L11" s="173"/>
      <c r="M11" s="174"/>
      <c r="N11" s="175" t="s">
        <v>15</v>
      </c>
      <c r="O11" s="176" t="s">
        <v>1</v>
      </c>
      <c r="P11" s="172" t="s">
        <v>2</v>
      </c>
      <c r="Q11" s="172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45568.0</v>
      </c>
      <c r="C12" s="56"/>
      <c r="D12" s="56"/>
      <c r="E12" s="56"/>
      <c r="F12" s="7"/>
      <c r="G12" s="177">
        <v>1.0</v>
      </c>
      <c r="H12" s="178" t="s">
        <v>16</v>
      </c>
      <c r="I12" s="179">
        <v>150.0</v>
      </c>
      <c r="J12" s="179">
        <f>SUMIF(E$10:E$144,"1",D$10:D$144)</f>
        <v>0</v>
      </c>
      <c r="K12" s="179">
        <f t="shared" ref="K12:K22" si="2">+I12-J12</f>
        <v>150</v>
      </c>
      <c r="L12" s="180"/>
      <c r="M12" s="181">
        <v>40.0</v>
      </c>
      <c r="N12" s="178" t="s">
        <v>17</v>
      </c>
      <c r="O12" s="179">
        <v>58.0</v>
      </c>
      <c r="P12" s="179">
        <v>45.0</v>
      </c>
      <c r="Q12" s="179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45574.0</v>
      </c>
      <c r="C13" s="56"/>
      <c r="D13" s="56"/>
      <c r="E13" s="56"/>
      <c r="F13" s="7"/>
      <c r="G13" s="177">
        <v>2.0</v>
      </c>
      <c r="H13" s="182" t="s">
        <v>18</v>
      </c>
      <c r="I13" s="179">
        <v>1200.0</v>
      </c>
      <c r="J13" s="183">
        <f>SUMIF(E$10:E$144,"2",D$10:D$144)</f>
        <v>0</v>
      </c>
      <c r="K13" s="183">
        <f t="shared" si="2"/>
        <v>1200</v>
      </c>
      <c r="L13" s="180"/>
      <c r="M13" s="177">
        <v>41.0</v>
      </c>
      <c r="N13" s="182" t="s">
        <v>19</v>
      </c>
      <c r="O13" s="183">
        <v>68.0</v>
      </c>
      <c r="P13" s="183">
        <f>SUMIF(E$10:E$144,"41",D$10:D$144)</f>
        <v>0</v>
      </c>
      <c r="Q13" s="183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45575.0</v>
      </c>
      <c r="C14" s="56"/>
      <c r="D14" s="56"/>
      <c r="E14" s="56"/>
      <c r="F14" s="7"/>
      <c r="G14" s="177">
        <v>3.0</v>
      </c>
      <c r="H14" s="184" t="s">
        <v>20</v>
      </c>
      <c r="I14" s="179">
        <v>250.0</v>
      </c>
      <c r="J14" s="183">
        <f>SUMIF(E$10:E$144,"3",D$10:D$144)</f>
        <v>0</v>
      </c>
      <c r="K14" s="183">
        <f t="shared" si="2"/>
        <v>250</v>
      </c>
      <c r="L14" s="180"/>
      <c r="M14" s="177">
        <v>42.0</v>
      </c>
      <c r="N14" s="182" t="s">
        <v>21</v>
      </c>
      <c r="O14" s="183">
        <v>440.0</v>
      </c>
      <c r="P14" s="183">
        <v>0.0</v>
      </c>
      <c r="Q14" s="183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45576.0</v>
      </c>
      <c r="C15" s="56"/>
      <c r="D15" s="56"/>
      <c r="E15" s="56"/>
      <c r="F15" s="7"/>
      <c r="G15" s="177">
        <v>4.0</v>
      </c>
      <c r="H15" s="182" t="s">
        <v>22</v>
      </c>
      <c r="I15" s="183">
        <v>1200.0</v>
      </c>
      <c r="J15" s="183">
        <v>1400.0</v>
      </c>
      <c r="K15" s="183">
        <f t="shared" si="2"/>
        <v>-200</v>
      </c>
      <c r="L15" s="180"/>
      <c r="M15" s="177">
        <v>43.0</v>
      </c>
      <c r="N15" s="182" t="s">
        <v>23</v>
      </c>
      <c r="O15" s="183">
        <v>240.0</v>
      </c>
      <c r="P15" s="183">
        <v>143.0</v>
      </c>
      <c r="Q15" s="183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45577.0</v>
      </c>
      <c r="C16" s="56"/>
      <c r="D16" s="56"/>
      <c r="E16" s="56"/>
      <c r="F16" s="7"/>
      <c r="G16" s="177">
        <v>5.0</v>
      </c>
      <c r="H16" s="182" t="s">
        <v>24</v>
      </c>
      <c r="I16" s="183">
        <v>120.0</v>
      </c>
      <c r="J16" s="183">
        <f>SUMIF(E$10:E$144,"5",D$10:D$144)</f>
        <v>0</v>
      </c>
      <c r="K16" s="183">
        <f t="shared" si="2"/>
        <v>120</v>
      </c>
      <c r="L16" s="180"/>
      <c r="M16" s="177">
        <v>44.0</v>
      </c>
      <c r="N16" s="182" t="s">
        <v>25</v>
      </c>
      <c r="O16" s="183">
        <v>110.0</v>
      </c>
      <c r="P16" s="183">
        <v>240.0</v>
      </c>
      <c r="Q16" s="183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45578.0</v>
      </c>
      <c r="C17" s="56"/>
      <c r="D17" s="56"/>
      <c r="E17" s="56"/>
      <c r="F17" s="7"/>
      <c r="G17" s="177">
        <v>6.0</v>
      </c>
      <c r="H17" s="182" t="s">
        <v>26</v>
      </c>
      <c r="I17" s="183">
        <v>150.0</v>
      </c>
      <c r="J17" s="183">
        <v>150.0</v>
      </c>
      <c r="K17" s="183">
        <f t="shared" si="2"/>
        <v>0</v>
      </c>
      <c r="L17" s="180"/>
      <c r="M17" s="177">
        <v>45.0</v>
      </c>
      <c r="N17" s="182" t="s">
        <v>27</v>
      </c>
      <c r="O17" s="183">
        <v>0.0</v>
      </c>
      <c r="P17" s="183">
        <f>SUMIF(E$10:E$144,"45",D$10:D$144)</f>
        <v>0</v>
      </c>
      <c r="Q17" s="183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45579.0</v>
      </c>
      <c r="C18" s="56"/>
      <c r="D18" s="56"/>
      <c r="E18" s="56"/>
      <c r="F18" s="7"/>
      <c r="G18" s="177">
        <v>7.0</v>
      </c>
      <c r="H18" s="182" t="s">
        <v>28</v>
      </c>
      <c r="I18" s="183">
        <v>77.0</v>
      </c>
      <c r="J18" s="183">
        <v>77.0</v>
      </c>
      <c r="K18" s="183">
        <f t="shared" si="2"/>
        <v>0</v>
      </c>
      <c r="L18" s="180"/>
      <c r="M18" s="177">
        <v>46.0</v>
      </c>
      <c r="N18" s="182" t="s">
        <v>29</v>
      </c>
      <c r="O18" s="183">
        <v>0.0</v>
      </c>
      <c r="P18" s="183">
        <f>SUMIF(E$10:E$144,"46",D$10:D$144)</f>
        <v>0</v>
      </c>
      <c r="Q18" s="183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45580.0</v>
      </c>
      <c r="C19" s="56"/>
      <c r="D19" s="56"/>
      <c r="E19" s="56"/>
      <c r="F19" s="7"/>
      <c r="G19" s="177">
        <v>8.0</v>
      </c>
      <c r="H19" s="182" t="s">
        <v>30</v>
      </c>
      <c r="I19" s="183">
        <v>55.0</v>
      </c>
      <c r="J19" s="183">
        <v>55.0</v>
      </c>
      <c r="K19" s="183">
        <f t="shared" si="2"/>
        <v>0</v>
      </c>
      <c r="L19" s="180"/>
      <c r="M19" s="177">
        <v>47.0</v>
      </c>
      <c r="N19" s="185"/>
      <c r="O19" s="183">
        <v>0.0</v>
      </c>
      <c r="P19" s="183">
        <f>SUMIF(E$10:E$144,"47",D$10:D$144)</f>
        <v>0</v>
      </c>
      <c r="Q19" s="183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45581.0</v>
      </c>
      <c r="C20" s="56"/>
      <c r="D20" s="56"/>
      <c r="E20" s="56"/>
      <c r="F20" s="7"/>
      <c r="G20" s="177">
        <v>9.0</v>
      </c>
      <c r="H20" s="182" t="s">
        <v>32</v>
      </c>
      <c r="I20" s="183">
        <v>175.0</v>
      </c>
      <c r="J20" s="183">
        <v>175.0</v>
      </c>
      <c r="K20" s="183">
        <f t="shared" si="2"/>
        <v>0</v>
      </c>
      <c r="L20" s="180"/>
      <c r="M20" s="177">
        <v>48.0</v>
      </c>
      <c r="N20" s="185"/>
      <c r="O20" s="183">
        <v>0.0</v>
      </c>
      <c r="P20" s="183">
        <f>SUMIF(E$10:E$144,"48",D$10:D$144)</f>
        <v>0</v>
      </c>
      <c r="Q20" s="183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45582.0</v>
      </c>
      <c r="C21" s="56"/>
      <c r="D21" s="56"/>
      <c r="E21" s="56"/>
      <c r="F21" s="7"/>
      <c r="G21" s="186">
        <v>10.0</v>
      </c>
      <c r="H21" s="187" t="s">
        <v>33</v>
      </c>
      <c r="I21" s="188"/>
      <c r="J21" s="189">
        <f>SUMIF(E$10:E$144,"10",D$10:D$144)</f>
        <v>0</v>
      </c>
      <c r="K21" s="189">
        <f t="shared" si="2"/>
        <v>0</v>
      </c>
      <c r="L21" s="180"/>
      <c r="M21" s="177">
        <v>49.0</v>
      </c>
      <c r="N21" s="190"/>
      <c r="O21" s="183">
        <v>0.0</v>
      </c>
      <c r="P21" s="183">
        <v>0.0</v>
      </c>
      <c r="Q21" s="183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45583.0</v>
      </c>
      <c r="C22" s="56"/>
      <c r="D22" s="56"/>
      <c r="E22" s="56"/>
      <c r="F22" s="7"/>
      <c r="G22" s="174"/>
      <c r="H22" s="191" t="s">
        <v>34</v>
      </c>
      <c r="I22" s="192">
        <f t="shared" ref="I22:J22" si="4">SUM(I12:I21)</f>
        <v>3377</v>
      </c>
      <c r="J22" s="192">
        <f t="shared" si="4"/>
        <v>1857</v>
      </c>
      <c r="K22" s="192">
        <f t="shared" si="2"/>
        <v>1520</v>
      </c>
      <c r="L22" s="193"/>
      <c r="M22" s="177">
        <v>50.0</v>
      </c>
      <c r="N22" s="185"/>
      <c r="O22" s="183">
        <v>0.0</v>
      </c>
      <c r="P22" s="183">
        <v>0.0</v>
      </c>
      <c r="Q22" s="183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45584.0</v>
      </c>
      <c r="C23" s="56"/>
      <c r="D23" s="56"/>
      <c r="E23" s="56"/>
      <c r="F23" s="7"/>
      <c r="G23" s="174"/>
      <c r="H23" s="194"/>
      <c r="I23" s="173"/>
      <c r="J23" s="173"/>
      <c r="K23" s="173"/>
      <c r="L23" s="193"/>
      <c r="M23" s="177">
        <v>51.0</v>
      </c>
      <c r="N23" s="182" t="s">
        <v>104</v>
      </c>
      <c r="O23" s="183">
        <v>0.0</v>
      </c>
      <c r="P23" s="183">
        <f>SUMIF(E$10:E$144,"51",D$10:D$144)</f>
        <v>0</v>
      </c>
      <c r="Q23" s="183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45585.0</v>
      </c>
      <c r="C24" s="56"/>
      <c r="D24" s="56"/>
      <c r="E24" s="56"/>
      <c r="F24" s="7"/>
      <c r="G24" s="174"/>
      <c r="H24" s="195" t="s">
        <v>35</v>
      </c>
      <c r="I24" s="172" t="s">
        <v>1</v>
      </c>
      <c r="J24" s="172" t="s">
        <v>2</v>
      </c>
      <c r="K24" s="172" t="s">
        <v>3</v>
      </c>
      <c r="L24" s="193"/>
      <c r="M24" s="174"/>
      <c r="N24" s="196" t="s">
        <v>34</v>
      </c>
      <c r="O24" s="192">
        <f t="shared" ref="O24:P24" si="5">SUM(O12:O23)</f>
        <v>916</v>
      </c>
      <c r="P24" s="192">
        <f t="shared" si="5"/>
        <v>428</v>
      </c>
      <c r="Q24" s="192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45586.0</v>
      </c>
      <c r="C25" s="56"/>
      <c r="D25" s="56"/>
      <c r="E25" s="56"/>
      <c r="F25" s="7"/>
      <c r="G25" s="177">
        <v>11.0</v>
      </c>
      <c r="H25" s="182" t="s">
        <v>36</v>
      </c>
      <c r="I25" s="179">
        <v>450.0</v>
      </c>
      <c r="J25" s="179">
        <v>450.0</v>
      </c>
      <c r="K25" s="179">
        <f t="shared" ref="K25:K29" si="6">+I25-J25</f>
        <v>0</v>
      </c>
      <c r="L25" s="197"/>
      <c r="M25" s="198"/>
      <c r="N25" s="174"/>
      <c r="O25" s="174"/>
      <c r="P25" s="174"/>
      <c r="Q25" s="174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45587.0</v>
      </c>
      <c r="C26" s="56"/>
      <c r="D26" s="56"/>
      <c r="E26" s="56"/>
      <c r="F26" s="7"/>
      <c r="G26" s="177">
        <v>12.0</v>
      </c>
      <c r="H26" s="182" t="s">
        <v>37</v>
      </c>
      <c r="I26" s="183">
        <v>140.0</v>
      </c>
      <c r="J26" s="183">
        <v>140.0</v>
      </c>
      <c r="K26" s="183">
        <f t="shared" si="6"/>
        <v>0</v>
      </c>
      <c r="L26" s="197"/>
      <c r="M26" s="174"/>
      <c r="N26" s="199" t="s">
        <v>38</v>
      </c>
      <c r="O26" s="172" t="s">
        <v>1</v>
      </c>
      <c r="P26" s="172" t="s">
        <v>2</v>
      </c>
      <c r="Q26" s="172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45588.0</v>
      </c>
      <c r="C27" s="56"/>
      <c r="D27" s="56"/>
      <c r="E27" s="56"/>
      <c r="F27" s="7"/>
      <c r="G27" s="177">
        <v>13.0</v>
      </c>
      <c r="H27" s="182" t="s">
        <v>39</v>
      </c>
      <c r="I27" s="183">
        <v>100.0</v>
      </c>
      <c r="J27" s="183">
        <v>250.0</v>
      </c>
      <c r="K27" s="183">
        <f t="shared" si="6"/>
        <v>-150</v>
      </c>
      <c r="L27" s="197"/>
      <c r="M27" s="200">
        <v>52.0</v>
      </c>
      <c r="N27" s="182" t="s">
        <v>40</v>
      </c>
      <c r="O27" s="179">
        <v>0.0</v>
      </c>
      <c r="P27" s="179">
        <f>SUMIF(E$10:E$144,"52",D$10:D$144)</f>
        <v>0</v>
      </c>
      <c r="Q27" s="179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45589.0</v>
      </c>
      <c r="C28" s="56"/>
      <c r="D28" s="56"/>
      <c r="E28" s="56"/>
      <c r="F28" s="7"/>
      <c r="G28" s="177">
        <v>14.0</v>
      </c>
      <c r="H28" s="182" t="s">
        <v>41</v>
      </c>
      <c r="I28" s="183">
        <v>140.0</v>
      </c>
      <c r="J28" s="183">
        <f>SUMIF(E$10:E$144,"14",D$10:D$144)</f>
        <v>0</v>
      </c>
      <c r="K28" s="183">
        <f t="shared" si="6"/>
        <v>140</v>
      </c>
      <c r="L28" s="197"/>
      <c r="M28" s="201">
        <v>53.0</v>
      </c>
      <c r="N28" s="182" t="s">
        <v>42</v>
      </c>
      <c r="O28" s="183">
        <v>0.0</v>
      </c>
      <c r="P28" s="183">
        <f>SUMIF(E$10:E$144,"53",D$10:D$144)</f>
        <v>0</v>
      </c>
      <c r="Q28" s="183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45590.0</v>
      </c>
      <c r="C29" s="56"/>
      <c r="D29" s="56"/>
      <c r="E29" s="56"/>
      <c r="F29" s="7"/>
      <c r="G29" s="174"/>
      <c r="H29" s="191" t="s">
        <v>34</v>
      </c>
      <c r="I29" s="192">
        <f t="shared" ref="I29:J29" si="8">SUM(I25:I28)</f>
        <v>830</v>
      </c>
      <c r="J29" s="192">
        <f t="shared" si="8"/>
        <v>840</v>
      </c>
      <c r="K29" s="192">
        <f t="shared" si="6"/>
        <v>-10</v>
      </c>
      <c r="L29" s="202"/>
      <c r="M29" s="181">
        <v>54.0</v>
      </c>
      <c r="N29" s="182" t="s">
        <v>43</v>
      </c>
      <c r="O29" s="183">
        <v>0.0</v>
      </c>
      <c r="P29" s="183">
        <f>SUMIF(E$10:E$144,"54",D$10:D$144)</f>
        <v>0</v>
      </c>
      <c r="Q29" s="183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45591.0</v>
      </c>
      <c r="C30" s="56"/>
      <c r="D30" s="56"/>
      <c r="E30" s="56"/>
      <c r="F30" s="7"/>
      <c r="G30" s="174"/>
      <c r="H30" s="180"/>
      <c r="I30" s="193"/>
      <c r="J30" s="193"/>
      <c r="K30" s="193"/>
      <c r="L30" s="173"/>
      <c r="M30" s="177">
        <v>55.0</v>
      </c>
      <c r="N30" s="182" t="s">
        <v>44</v>
      </c>
      <c r="O30" s="183">
        <v>140.0</v>
      </c>
      <c r="P30" s="183">
        <f>SUMIF(E$10:E$144,"55",D$10:D$144)</f>
        <v>0</v>
      </c>
      <c r="Q30" s="183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45592.0</v>
      </c>
      <c r="C31" s="56"/>
      <c r="D31" s="56"/>
      <c r="E31" s="56"/>
      <c r="F31" s="7"/>
      <c r="G31" s="174"/>
      <c r="H31" s="195" t="s">
        <v>45</v>
      </c>
      <c r="I31" s="172" t="s">
        <v>1</v>
      </c>
      <c r="J31" s="172" t="s">
        <v>2</v>
      </c>
      <c r="K31" s="172" t="s">
        <v>3</v>
      </c>
      <c r="L31" s="193"/>
      <c r="M31" s="177">
        <v>56.0</v>
      </c>
      <c r="N31" s="182" t="s">
        <v>46</v>
      </c>
      <c r="O31" s="183">
        <v>0.0</v>
      </c>
      <c r="P31" s="183">
        <f>SUMIF(E$10:E$144,"56",D$10:D$144)</f>
        <v>0</v>
      </c>
      <c r="Q31" s="183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45593.0</v>
      </c>
      <c r="C32" s="56"/>
      <c r="D32" s="56"/>
      <c r="E32" s="56"/>
      <c r="F32" s="7"/>
      <c r="G32" s="177">
        <v>15.0</v>
      </c>
      <c r="H32" s="182" t="s">
        <v>47</v>
      </c>
      <c r="I32" s="179">
        <v>45.0</v>
      </c>
      <c r="J32" s="179">
        <v>45.0</v>
      </c>
      <c r="K32" s="179">
        <f t="shared" ref="K32:K38" si="9">+I32-J32</f>
        <v>0</v>
      </c>
      <c r="L32" s="193"/>
      <c r="M32" s="177">
        <v>57.0</v>
      </c>
      <c r="N32" s="182" t="s">
        <v>48</v>
      </c>
      <c r="O32" s="183">
        <v>0.0</v>
      </c>
      <c r="P32" s="183">
        <f>SUMIF(E$10:E$144,"57",D$10:D$144)</f>
        <v>0</v>
      </c>
      <c r="Q32" s="183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45594.0</v>
      </c>
      <c r="C33" s="56"/>
      <c r="D33" s="56"/>
      <c r="E33" s="56"/>
      <c r="F33" s="7"/>
      <c r="G33" s="177">
        <v>16.0</v>
      </c>
      <c r="H33" s="182" t="s">
        <v>49</v>
      </c>
      <c r="I33" s="183">
        <v>89.0</v>
      </c>
      <c r="J33" s="183">
        <v>89.0</v>
      </c>
      <c r="K33" s="183">
        <f t="shared" si="9"/>
        <v>0</v>
      </c>
      <c r="L33" s="193"/>
      <c r="M33" s="177">
        <v>58.0</v>
      </c>
      <c r="N33" s="182" t="s">
        <v>50</v>
      </c>
      <c r="O33" s="183">
        <v>0.0</v>
      </c>
      <c r="P33" s="183">
        <f>SUMIF(E$10:E$144,"58",D$10:D$144)</f>
        <v>0</v>
      </c>
      <c r="Q33" s="183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45595.0</v>
      </c>
      <c r="C34" s="56"/>
      <c r="D34" s="56"/>
      <c r="E34" s="56"/>
      <c r="F34" s="7"/>
      <c r="G34" s="177">
        <v>17.0</v>
      </c>
      <c r="H34" s="182" t="s">
        <v>51</v>
      </c>
      <c r="I34" s="183">
        <v>24.0</v>
      </c>
      <c r="J34" s="183">
        <v>24.0</v>
      </c>
      <c r="K34" s="183">
        <f t="shared" si="9"/>
        <v>0</v>
      </c>
      <c r="L34" s="193"/>
      <c r="M34" s="174"/>
      <c r="N34" s="196" t="s">
        <v>34</v>
      </c>
      <c r="O34" s="192">
        <f t="shared" ref="O34:P34" si="10">SUM(O27:O33)</f>
        <v>140</v>
      </c>
      <c r="P34" s="192">
        <f t="shared" si="10"/>
        <v>0</v>
      </c>
      <c r="Q34" s="192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15"/>
      <c r="C35" s="56"/>
      <c r="D35" s="56"/>
      <c r="E35" s="56"/>
      <c r="F35" s="7"/>
      <c r="G35" s="177">
        <v>18.0</v>
      </c>
      <c r="H35" s="185" t="s">
        <v>52</v>
      </c>
      <c r="I35" s="183">
        <v>21.9</v>
      </c>
      <c r="J35" s="183">
        <v>22.0</v>
      </c>
      <c r="K35" s="183">
        <f t="shared" si="9"/>
        <v>-0.1</v>
      </c>
      <c r="L35" s="193"/>
      <c r="M35" s="203"/>
      <c r="N35" s="174"/>
      <c r="O35" s="174"/>
      <c r="P35" s="174"/>
      <c r="Q35" s="174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15"/>
      <c r="C36" s="56"/>
      <c r="D36" s="56"/>
      <c r="E36" s="56"/>
      <c r="F36" s="7"/>
      <c r="G36" s="177">
        <v>19.0</v>
      </c>
      <c r="H36" s="182" t="s">
        <v>53</v>
      </c>
      <c r="I36" s="183">
        <v>10.9</v>
      </c>
      <c r="J36" s="183">
        <v>11.0</v>
      </c>
      <c r="K36" s="183">
        <f t="shared" si="9"/>
        <v>-0.1</v>
      </c>
      <c r="L36" s="193"/>
      <c r="M36" s="174"/>
      <c r="N36" s="175" t="s">
        <v>54</v>
      </c>
      <c r="O36" s="176" t="s">
        <v>1</v>
      </c>
      <c r="P36" s="172" t="s">
        <v>2</v>
      </c>
      <c r="Q36" s="172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15"/>
      <c r="C37" s="56"/>
      <c r="D37" s="56"/>
      <c r="E37" s="56"/>
      <c r="F37" s="7"/>
      <c r="G37" s="177">
        <v>20.0</v>
      </c>
      <c r="H37" s="182" t="s">
        <v>55</v>
      </c>
      <c r="I37" s="183">
        <v>34.5</v>
      </c>
      <c r="J37" s="183">
        <v>45.0</v>
      </c>
      <c r="K37" s="183">
        <f t="shared" si="9"/>
        <v>-10.5</v>
      </c>
      <c r="L37" s="193"/>
      <c r="M37" s="181">
        <v>60.0</v>
      </c>
      <c r="N37" s="178" t="s">
        <v>56</v>
      </c>
      <c r="O37" s="179">
        <v>450.0</v>
      </c>
      <c r="P37" s="179">
        <f>SUMIF(E$10:E$144,"60",D$10:D$144)</f>
        <v>0</v>
      </c>
      <c r="Q37" s="179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15"/>
      <c r="C38" s="56"/>
      <c r="D38" s="56"/>
      <c r="E38" s="56"/>
      <c r="F38" s="7"/>
      <c r="G38" s="174"/>
      <c r="H38" s="191" t="s">
        <v>34</v>
      </c>
      <c r="I38" s="192">
        <f t="shared" ref="I38:J38" si="11">SUM(I32:I37)</f>
        <v>225.3</v>
      </c>
      <c r="J38" s="192">
        <f t="shared" si="11"/>
        <v>236</v>
      </c>
      <c r="K38" s="192">
        <f t="shared" si="9"/>
        <v>-10.7</v>
      </c>
      <c r="L38" s="193"/>
      <c r="M38" s="177">
        <v>61.0</v>
      </c>
      <c r="N38" s="182" t="s">
        <v>57</v>
      </c>
      <c r="O38" s="183">
        <v>0.0</v>
      </c>
      <c r="P38" s="183">
        <f>SUMIF(E$10:E$144,"61",D$10:D$144)</f>
        <v>0</v>
      </c>
      <c r="Q38" s="183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15"/>
      <c r="C39" s="56"/>
      <c r="D39" s="56"/>
      <c r="E39" s="56"/>
      <c r="F39" s="7"/>
      <c r="G39" s="174"/>
      <c r="H39" s="174"/>
      <c r="I39" s="174"/>
      <c r="J39" s="174"/>
      <c r="K39" s="174"/>
      <c r="L39" s="193"/>
      <c r="M39" s="177">
        <v>62.0</v>
      </c>
      <c r="N39" s="182" t="s">
        <v>58</v>
      </c>
      <c r="O39" s="183">
        <v>120.0</v>
      </c>
      <c r="P39" s="183">
        <f>SUMIF(E$10:E$144,"62",D$10:D$144)</f>
        <v>0</v>
      </c>
      <c r="Q39" s="183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15"/>
      <c r="C40" s="56"/>
      <c r="D40" s="56"/>
      <c r="E40" s="56"/>
      <c r="F40" s="7"/>
      <c r="G40" s="174"/>
      <c r="H40" s="195" t="s">
        <v>59</v>
      </c>
      <c r="I40" s="172" t="s">
        <v>1</v>
      </c>
      <c r="J40" s="172" t="s">
        <v>2</v>
      </c>
      <c r="K40" s="172" t="s">
        <v>3</v>
      </c>
      <c r="L40" s="193"/>
      <c r="M40" s="177">
        <v>63.0</v>
      </c>
      <c r="N40" s="182" t="s">
        <v>60</v>
      </c>
      <c r="O40" s="183">
        <v>148.0</v>
      </c>
      <c r="P40" s="183">
        <f>SUMIF(E$10:E$144,"63",D$10:D$144)</f>
        <v>0</v>
      </c>
      <c r="Q40" s="183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15"/>
      <c r="C41" s="56"/>
      <c r="D41" s="56"/>
      <c r="E41" s="56"/>
      <c r="F41" s="7"/>
      <c r="G41" s="177">
        <v>21.0</v>
      </c>
      <c r="H41" s="182" t="s">
        <v>61</v>
      </c>
      <c r="I41" s="179">
        <v>120.0</v>
      </c>
      <c r="J41" s="179">
        <f>SUMIF(E$10:E$144,"21",D$10:D$144)</f>
        <v>0</v>
      </c>
      <c r="K41" s="179">
        <f t="shared" ref="K41:K51" si="13">+I41-J41</f>
        <v>120</v>
      </c>
      <c r="L41" s="204"/>
      <c r="M41" s="177">
        <v>64.0</v>
      </c>
      <c r="N41" s="182" t="s">
        <v>62</v>
      </c>
      <c r="O41" s="183">
        <v>60.0</v>
      </c>
      <c r="P41" s="183">
        <f>SUMIF(E$10:E$144,"64",D$10:D$144)</f>
        <v>0</v>
      </c>
      <c r="Q41" s="183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15"/>
      <c r="C42" s="56"/>
      <c r="D42" s="56"/>
      <c r="E42" s="56"/>
      <c r="F42" s="7"/>
      <c r="G42" s="177">
        <v>22.0</v>
      </c>
      <c r="H42" s="182" t="s">
        <v>63</v>
      </c>
      <c r="I42" s="183">
        <v>120.0</v>
      </c>
      <c r="J42" s="183">
        <f>SUMIF(E$10:E$144,"22",D$10:D$144)</f>
        <v>0</v>
      </c>
      <c r="K42" s="183">
        <f t="shared" si="13"/>
        <v>120</v>
      </c>
      <c r="L42" s="174"/>
      <c r="M42" s="174"/>
      <c r="N42" s="191" t="s">
        <v>34</v>
      </c>
      <c r="O42" s="192">
        <f t="shared" ref="O42:P42" si="14">SUM(O37:O41)</f>
        <v>778</v>
      </c>
      <c r="P42" s="192">
        <f t="shared" si="14"/>
        <v>0</v>
      </c>
      <c r="Q42" s="192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15"/>
      <c r="C43" s="56"/>
      <c r="D43" s="56"/>
      <c r="E43" s="56"/>
      <c r="F43" s="7"/>
      <c r="G43" s="177">
        <v>23.0</v>
      </c>
      <c r="H43" s="182" t="s">
        <v>64</v>
      </c>
      <c r="I43" s="183">
        <v>100.0</v>
      </c>
      <c r="J43" s="183">
        <f>SUMIF(E$10:E$144,"23",D$10:D$144)</f>
        <v>0</v>
      </c>
      <c r="K43" s="183">
        <f t="shared" si="13"/>
        <v>100</v>
      </c>
      <c r="L43" s="174"/>
      <c r="M43" s="174"/>
      <c r="N43" s="174"/>
      <c r="O43" s="174"/>
      <c r="P43" s="174"/>
      <c r="Q43" s="174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7"/>
      <c r="G44" s="177">
        <v>24.0</v>
      </c>
      <c r="H44" s="182" t="s">
        <v>65</v>
      </c>
      <c r="I44" s="183">
        <v>100.0</v>
      </c>
      <c r="J44" s="183">
        <f>SUMIF(E$10:E$144,"24",D$10:D$144)</f>
        <v>0</v>
      </c>
      <c r="K44" s="183">
        <f t="shared" si="13"/>
        <v>100</v>
      </c>
      <c r="L44" s="174"/>
      <c r="M44" s="174"/>
      <c r="N44" s="195" t="s">
        <v>66</v>
      </c>
      <c r="O44" s="172" t="s">
        <v>1</v>
      </c>
      <c r="P44" s="172" t="s">
        <v>2</v>
      </c>
      <c r="Q44" s="172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7"/>
      <c r="G45" s="177">
        <v>25.0</v>
      </c>
      <c r="H45" s="182" t="s">
        <v>67</v>
      </c>
      <c r="I45" s="183">
        <v>150.0</v>
      </c>
      <c r="J45" s="183">
        <f>SUMIF(E$10:E$144,"25",D$10:D$144)</f>
        <v>0</v>
      </c>
      <c r="K45" s="183">
        <f t="shared" si="13"/>
        <v>150</v>
      </c>
      <c r="L45" s="174"/>
      <c r="M45" s="177">
        <v>70.0</v>
      </c>
      <c r="N45" s="182" t="s">
        <v>68</v>
      </c>
      <c r="O45" s="183">
        <v>0.0</v>
      </c>
      <c r="P45" s="183">
        <f>SUMIF(E$10:E$144,"70",D$10:D$144)</f>
        <v>0</v>
      </c>
      <c r="Q45" s="183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77">
        <v>26.0</v>
      </c>
      <c r="H46" s="182" t="s">
        <v>69</v>
      </c>
      <c r="I46" s="183">
        <v>0.0</v>
      </c>
      <c r="J46" s="183">
        <f>SUMIF(E$10:E$144,"26",D$10:D$144)</f>
        <v>0</v>
      </c>
      <c r="K46" s="183">
        <f t="shared" si="13"/>
        <v>0</v>
      </c>
      <c r="L46" s="174"/>
      <c r="M46" s="177">
        <v>71.0</v>
      </c>
      <c r="N46" s="182" t="s">
        <v>70</v>
      </c>
      <c r="O46" s="183">
        <v>0.0</v>
      </c>
      <c r="P46" s="183">
        <f>SUMIF(E$10:E$144,"71",D$10:D$144)</f>
        <v>0</v>
      </c>
      <c r="Q46" s="183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77">
        <v>27.0</v>
      </c>
      <c r="H47" s="182" t="s">
        <v>71</v>
      </c>
      <c r="I47" s="183">
        <v>89.0</v>
      </c>
      <c r="J47" s="183">
        <f>SUMIF(E$10:E$144,"27",D$10:D$144)</f>
        <v>0</v>
      </c>
      <c r="K47" s="183">
        <f t="shared" si="13"/>
        <v>89</v>
      </c>
      <c r="L47" s="174"/>
      <c r="M47" s="177">
        <v>72.0</v>
      </c>
      <c r="N47" s="182" t="s">
        <v>72</v>
      </c>
      <c r="O47" s="183">
        <v>0.0</v>
      </c>
      <c r="P47" s="183">
        <f>SUMIF(E$10:E$144,"72",D$10:D$144)</f>
        <v>0</v>
      </c>
      <c r="Q47" s="183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77">
        <v>28.0</v>
      </c>
      <c r="H48" s="182" t="s">
        <v>73</v>
      </c>
      <c r="I48" s="183">
        <v>0.0</v>
      </c>
      <c r="J48" s="183">
        <f>SUMIF(E$10:E$144,"28",D$10:D$144)</f>
        <v>0</v>
      </c>
      <c r="K48" s="183">
        <f t="shared" si="13"/>
        <v>0</v>
      </c>
      <c r="L48" s="174"/>
      <c r="M48" s="177">
        <v>73.0</v>
      </c>
      <c r="N48" s="182" t="s">
        <v>74</v>
      </c>
      <c r="O48" s="183">
        <v>0.0</v>
      </c>
      <c r="P48" s="183">
        <f>SUMIF(E$10:E$144,"73",D$10:D$144)</f>
        <v>0</v>
      </c>
      <c r="Q48" s="183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77">
        <v>29.0</v>
      </c>
      <c r="H49" s="182" t="s">
        <v>75</v>
      </c>
      <c r="I49" s="183">
        <v>0.0</v>
      </c>
      <c r="J49" s="183">
        <f>SUMIF(E$10:E$144,"29",D$10:D$144)</f>
        <v>0</v>
      </c>
      <c r="K49" s="183">
        <f t="shared" si="13"/>
        <v>0</v>
      </c>
      <c r="L49" s="174"/>
      <c r="M49" s="177">
        <v>74.0</v>
      </c>
      <c r="N49" s="182" t="s">
        <v>76</v>
      </c>
      <c r="O49" s="183">
        <v>0.0</v>
      </c>
      <c r="P49" s="183">
        <f>SUMIF(E$10:E$144,"74",D$10:D$144)</f>
        <v>0</v>
      </c>
      <c r="Q49" s="183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77">
        <v>30.0</v>
      </c>
      <c r="H50" s="182" t="s">
        <v>77</v>
      </c>
      <c r="I50" s="183">
        <v>0.0</v>
      </c>
      <c r="J50" s="183">
        <f>SUMIF(E$10:E$144,"30",D$10:D$144)</f>
        <v>0</v>
      </c>
      <c r="K50" s="183">
        <f t="shared" si="13"/>
        <v>0</v>
      </c>
      <c r="L50" s="174"/>
      <c r="M50" s="177">
        <v>75.0</v>
      </c>
      <c r="N50" s="182" t="s">
        <v>78</v>
      </c>
      <c r="O50" s="183">
        <v>0.0</v>
      </c>
      <c r="P50" s="183">
        <f>SUMIF(E$10:E$144,"75",D$10:D$144)</f>
        <v>0</v>
      </c>
      <c r="Q50" s="183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74"/>
      <c r="H51" s="191" t="s">
        <v>34</v>
      </c>
      <c r="I51" s="192">
        <f t="shared" ref="I51:J51" si="16">SUM(I41:I50)</f>
        <v>679</v>
      </c>
      <c r="J51" s="192">
        <f t="shared" si="16"/>
        <v>0</v>
      </c>
      <c r="K51" s="192">
        <f t="shared" si="13"/>
        <v>679</v>
      </c>
      <c r="L51" s="174"/>
      <c r="M51" s="177">
        <v>76.0</v>
      </c>
      <c r="N51" s="182" t="s">
        <v>79</v>
      </c>
      <c r="O51" s="183">
        <v>0.0</v>
      </c>
      <c r="P51" s="183">
        <f>SUMIF(E$10:E$144,"76",D$10:D$144)</f>
        <v>0</v>
      </c>
      <c r="Q51" s="183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174"/>
      <c r="H52" s="174"/>
      <c r="I52" s="174"/>
      <c r="J52" s="174"/>
      <c r="K52" s="174"/>
      <c r="L52" s="174"/>
      <c r="M52" s="174"/>
      <c r="N52" s="191" t="s">
        <v>34</v>
      </c>
      <c r="O52" s="192">
        <f t="shared" ref="O52:P52" si="17">SUM(O45:O51)</f>
        <v>0</v>
      </c>
      <c r="P52" s="192">
        <f t="shared" si="17"/>
        <v>0</v>
      </c>
      <c r="Q52" s="192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174"/>
      <c r="H53" s="195" t="s">
        <v>80</v>
      </c>
      <c r="I53" s="172" t="s">
        <v>1</v>
      </c>
      <c r="J53" s="172" t="s">
        <v>2</v>
      </c>
      <c r="K53" s="172" t="s">
        <v>3</v>
      </c>
      <c r="L53" s="174"/>
      <c r="M53" s="174"/>
      <c r="N53" s="174"/>
      <c r="O53" s="174"/>
      <c r="P53" s="174"/>
      <c r="Q53" s="174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177">
        <v>31.0</v>
      </c>
      <c r="H54" s="182" t="s">
        <v>81</v>
      </c>
      <c r="I54" s="183">
        <v>39.0</v>
      </c>
      <c r="J54" s="183">
        <f>SUMIF(E$10:E$144,"31",D$10:D$144)</f>
        <v>0</v>
      </c>
      <c r="K54" s="183">
        <f t="shared" ref="K54:K57" si="18">+I54-J54</f>
        <v>39</v>
      </c>
      <c r="L54" s="174"/>
      <c r="M54" s="174"/>
      <c r="N54" s="195" t="s">
        <v>105</v>
      </c>
      <c r="O54" s="172" t="s">
        <v>1</v>
      </c>
      <c r="P54" s="172" t="s">
        <v>2</v>
      </c>
      <c r="Q54" s="172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77">
        <v>32.0</v>
      </c>
      <c r="H55" s="182" t="s">
        <v>83</v>
      </c>
      <c r="I55" s="183">
        <v>0.0</v>
      </c>
      <c r="J55" s="183">
        <f>SUMIF(E$10:E$144,"32",D$10:D$144)</f>
        <v>0</v>
      </c>
      <c r="K55" s="183">
        <f t="shared" si="18"/>
        <v>0</v>
      </c>
      <c r="L55" s="174"/>
      <c r="M55" s="177">
        <v>80.0</v>
      </c>
      <c r="N55" s="182" t="s">
        <v>106</v>
      </c>
      <c r="O55" s="179">
        <v>89.0</v>
      </c>
      <c r="P55" s="179">
        <f>SUMIF(E$10:E$144,"80",D$10:D$144)</f>
        <v>0</v>
      </c>
      <c r="Q55" s="179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77">
        <v>33.0</v>
      </c>
      <c r="H56" s="182" t="s">
        <v>85</v>
      </c>
      <c r="I56" s="183">
        <v>0.0</v>
      </c>
      <c r="J56" s="183">
        <f>SUMIF(E$10:E$144,"33",D$10:D$144)</f>
        <v>0</v>
      </c>
      <c r="K56" s="183">
        <f t="shared" si="18"/>
        <v>0</v>
      </c>
      <c r="L56" s="174"/>
      <c r="M56" s="177">
        <v>81.0</v>
      </c>
      <c r="N56" s="182" t="s">
        <v>107</v>
      </c>
      <c r="O56" s="183">
        <v>0.0</v>
      </c>
      <c r="P56" s="183">
        <f>SUMIF(E$10:E$144,"81",D$10:D$144)</f>
        <v>0</v>
      </c>
      <c r="Q56" s="183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74"/>
      <c r="H57" s="191" t="s">
        <v>34</v>
      </c>
      <c r="I57" s="192">
        <f t="shared" ref="I57:J57" si="20">SUM(I54:I56)</f>
        <v>39</v>
      </c>
      <c r="J57" s="192">
        <f t="shared" si="20"/>
        <v>0</v>
      </c>
      <c r="K57" s="192">
        <f t="shared" si="18"/>
        <v>39</v>
      </c>
      <c r="L57" s="174"/>
      <c r="M57" s="177">
        <v>82.0</v>
      </c>
      <c r="N57" s="182" t="s">
        <v>108</v>
      </c>
      <c r="O57" s="183">
        <v>140.0</v>
      </c>
      <c r="P57" s="183">
        <f>SUMIF(E$10:E$144,"82",D$10:D$144)</f>
        <v>0</v>
      </c>
      <c r="Q57" s="183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174"/>
      <c r="H58" s="174"/>
      <c r="I58" s="174"/>
      <c r="J58" s="174"/>
      <c r="K58" s="174"/>
      <c r="L58" s="174"/>
      <c r="M58" s="177">
        <v>83.0</v>
      </c>
      <c r="N58" s="182" t="s">
        <v>109</v>
      </c>
      <c r="O58" s="183">
        <v>0.0</v>
      </c>
      <c r="P58" s="183">
        <f>SUMIF(E$10:E$144,"83",D$10:D$144)</f>
        <v>0</v>
      </c>
      <c r="Q58" s="183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74"/>
      <c r="H59" s="195" t="s">
        <v>110</v>
      </c>
      <c r="I59" s="172" t="s">
        <v>1</v>
      </c>
      <c r="J59" s="172" t="s">
        <v>90</v>
      </c>
      <c r="K59" s="172" t="s">
        <v>91</v>
      </c>
      <c r="L59" s="174"/>
      <c r="M59" s="174"/>
      <c r="N59" s="191" t="s">
        <v>34</v>
      </c>
      <c r="O59" s="192">
        <f t="shared" ref="O59:P59" si="21">SUM(O55:O58)</f>
        <v>229</v>
      </c>
      <c r="P59" s="192">
        <f t="shared" si="21"/>
        <v>0</v>
      </c>
      <c r="Q59" s="192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77">
        <v>34.0</v>
      </c>
      <c r="H60" s="182" t="s">
        <v>93</v>
      </c>
      <c r="I60" s="179">
        <v>1200.0</v>
      </c>
      <c r="J60" s="179">
        <f>SUMIF(E$10:E$144,"34",D$10:D$144)</f>
        <v>0</v>
      </c>
      <c r="K60" s="179">
        <f>+I60-O620</f>
        <v>1200</v>
      </c>
      <c r="L60" s="174"/>
      <c r="M60" s="174"/>
      <c r="N60" s="174"/>
      <c r="O60" s="174"/>
      <c r="P60" s="174"/>
      <c r="Q60" s="174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6"/>
      <c r="G61" s="177">
        <v>35.0</v>
      </c>
      <c r="H61" s="182" t="s">
        <v>94</v>
      </c>
      <c r="I61" s="183">
        <v>1200.0</v>
      </c>
      <c r="J61" s="183">
        <f>SUMIF(E$10:E$144,"35",D$10:D$144)</f>
        <v>0</v>
      </c>
      <c r="K61" s="183">
        <f t="shared" ref="K61:K64" si="22">+I61-J61</f>
        <v>1200</v>
      </c>
      <c r="L61" s="174"/>
      <c r="M61" s="174"/>
      <c r="N61" s="195" t="s">
        <v>111</v>
      </c>
      <c r="O61" s="172" t="s">
        <v>1</v>
      </c>
      <c r="P61" s="172" t="s">
        <v>2</v>
      </c>
      <c r="Q61" s="172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6"/>
      <c r="G62" s="177">
        <v>36.0</v>
      </c>
      <c r="H62" s="182" t="s">
        <v>96</v>
      </c>
      <c r="I62" s="183">
        <v>1200.0</v>
      </c>
      <c r="J62" s="183">
        <f>SUMIF(E$10:E$144,"36",D$10:D$144)</f>
        <v>0</v>
      </c>
      <c r="K62" s="183">
        <f t="shared" si="22"/>
        <v>1200</v>
      </c>
      <c r="L62" s="174"/>
      <c r="M62" s="177">
        <v>90.0</v>
      </c>
      <c r="N62" s="182" t="s">
        <v>97</v>
      </c>
      <c r="O62" s="183">
        <v>0.0</v>
      </c>
      <c r="P62" s="183">
        <f>SUMIF(E$10:E$144,"90",D$10:D$144)</f>
        <v>0</v>
      </c>
      <c r="Q62" s="183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6"/>
      <c r="G63" s="177">
        <v>37.0</v>
      </c>
      <c r="H63" s="182" t="s">
        <v>100</v>
      </c>
      <c r="I63" s="183">
        <v>1200.0</v>
      </c>
      <c r="J63" s="183">
        <f>SUMIF(E$10:E$144,"37",D$10:D$144)</f>
        <v>0</v>
      </c>
      <c r="K63" s="183">
        <f t="shared" si="22"/>
        <v>1200</v>
      </c>
      <c r="L63" s="174"/>
      <c r="M63" s="177">
        <v>91.0</v>
      </c>
      <c r="N63" s="182" t="s">
        <v>101</v>
      </c>
      <c r="O63" s="183">
        <v>0.0</v>
      </c>
      <c r="P63" s="183">
        <f>SUMIF(E$10:E$144,"91",D$10:D$144)</f>
        <v>0</v>
      </c>
      <c r="Q63" s="183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6"/>
      <c r="G64" s="174"/>
      <c r="H64" s="191" t="s">
        <v>34</v>
      </c>
      <c r="I64" s="192">
        <f t="shared" ref="I64:J64" si="24">SUM(I60:I63)</f>
        <v>4800</v>
      </c>
      <c r="J64" s="192">
        <f t="shared" si="24"/>
        <v>0</v>
      </c>
      <c r="K64" s="192">
        <f t="shared" si="22"/>
        <v>4800</v>
      </c>
      <c r="L64" s="174"/>
      <c r="M64" s="177">
        <v>92.0</v>
      </c>
      <c r="N64" s="182" t="s">
        <v>102</v>
      </c>
      <c r="O64" s="183">
        <v>0.0</v>
      </c>
      <c r="P64" s="183">
        <f>SUMIF(E$10:E$144,"92",D$10:D$144)</f>
        <v>0</v>
      </c>
      <c r="Q64" s="183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6"/>
      <c r="G65" s="174"/>
      <c r="H65" s="174"/>
      <c r="I65" s="174"/>
      <c r="J65" s="174"/>
      <c r="K65" s="174"/>
      <c r="L65" s="174"/>
      <c r="M65" s="174"/>
      <c r="N65" s="191" t="s">
        <v>34</v>
      </c>
      <c r="O65" s="192">
        <f t="shared" ref="O65:P65" si="25">SUM(O62:O64)</f>
        <v>0</v>
      </c>
      <c r="P65" s="192">
        <f t="shared" si="25"/>
        <v>0</v>
      </c>
      <c r="Q65" s="192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09"/>
      <c r="C93" s="109"/>
      <c r="D93" s="109"/>
      <c r="E93" s="10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09"/>
      <c r="C94" s="109"/>
      <c r="D94" s="109"/>
      <c r="E94" s="109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09"/>
      <c r="C95" s="109"/>
      <c r="D95" s="109"/>
      <c r="E95" s="109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09"/>
      <c r="C96" s="109"/>
      <c r="D96" s="109"/>
      <c r="E96" s="10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09"/>
      <c r="C97" s="109"/>
      <c r="D97" s="109"/>
      <c r="E97" s="10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138"/>
      <c r="H111" s="6"/>
      <c r="I111" s="6"/>
      <c r="J111" s="6"/>
      <c r="K111" s="6"/>
      <c r="L111" s="6"/>
      <c r="M111" s="138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138"/>
      <c r="H112" s="6"/>
      <c r="I112" s="6"/>
      <c r="J112" s="6"/>
      <c r="K112" s="6"/>
      <c r="L112" s="6"/>
      <c r="M112" s="138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138"/>
      <c r="H113" s="6"/>
      <c r="I113" s="6"/>
      <c r="J113" s="6"/>
      <c r="K113" s="6"/>
      <c r="L113" s="6"/>
      <c r="M113" s="138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138"/>
      <c r="H114" s="6"/>
      <c r="I114" s="6"/>
      <c r="J114" s="6"/>
      <c r="K114" s="6"/>
      <c r="L114" s="6"/>
      <c r="M114" s="138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138"/>
      <c r="H115" s="6"/>
      <c r="I115" s="6"/>
      <c r="J115" s="6"/>
      <c r="K115" s="6"/>
      <c r="L115" s="6"/>
      <c r="M115" s="138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6"/>
      <c r="C124" s="6"/>
      <c r="D124" s="6"/>
      <c r="E124" s="6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6"/>
      <c r="C125" s="6"/>
      <c r="D125" s="6"/>
      <c r="E125" s="6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6"/>
      <c r="C126" s="6"/>
      <c r="D126" s="6"/>
      <c r="E126" s="6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6"/>
      <c r="C127" s="6"/>
      <c r="D127" s="6"/>
      <c r="E127" s="6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6"/>
      <c r="C128" s="6"/>
      <c r="D128" s="6"/>
      <c r="E128" s="6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10:E90">
    <cfRule type="cellIs" dxfId="0" priority="1" operator="notBetween">
      <formula>0</formula>
      <formula>100</formula>
    </cfRule>
  </conditionalFormatting>
  <conditionalFormatting sqref="E91:E92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167" t="s">
        <v>113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4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SUM(D10:D110)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39">
        <v>45962.0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45963.0</v>
      </c>
      <c r="C11" s="56"/>
      <c r="D11" s="56"/>
      <c r="E11" s="56"/>
      <c r="F11" s="7"/>
      <c r="G11" s="170"/>
      <c r="H11" s="171" t="s">
        <v>14</v>
      </c>
      <c r="I11" s="172" t="s">
        <v>1</v>
      </c>
      <c r="J11" s="172" t="s">
        <v>2</v>
      </c>
      <c r="K11" s="172" t="s">
        <v>3</v>
      </c>
      <c r="L11" s="173"/>
      <c r="M11" s="174"/>
      <c r="N11" s="175" t="s">
        <v>15</v>
      </c>
      <c r="O11" s="176" t="s">
        <v>1</v>
      </c>
      <c r="P11" s="172" t="s">
        <v>2</v>
      </c>
      <c r="Q11" s="172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45964.0</v>
      </c>
      <c r="C12" s="56"/>
      <c r="D12" s="56"/>
      <c r="E12" s="56"/>
      <c r="F12" s="7"/>
      <c r="G12" s="177">
        <v>1.0</v>
      </c>
      <c r="H12" s="178" t="s">
        <v>16</v>
      </c>
      <c r="I12" s="179">
        <v>150.0</v>
      </c>
      <c r="J12" s="179">
        <f>SUMIF(E$10:E$144,"1",D$10:D$144)</f>
        <v>0</v>
      </c>
      <c r="K12" s="179">
        <f t="shared" ref="K12:K22" si="2">+I12-J12</f>
        <v>150</v>
      </c>
      <c r="L12" s="180"/>
      <c r="M12" s="181">
        <v>40.0</v>
      </c>
      <c r="N12" s="178" t="s">
        <v>17</v>
      </c>
      <c r="O12" s="179">
        <v>58.0</v>
      </c>
      <c r="P12" s="179">
        <v>45.0</v>
      </c>
      <c r="Q12" s="179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45965.0</v>
      </c>
      <c r="C13" s="56"/>
      <c r="D13" s="56"/>
      <c r="E13" s="56"/>
      <c r="F13" s="7"/>
      <c r="G13" s="177">
        <v>2.0</v>
      </c>
      <c r="H13" s="182" t="s">
        <v>18</v>
      </c>
      <c r="I13" s="179">
        <v>1200.0</v>
      </c>
      <c r="J13" s="183">
        <f>SUMIF(E$10:E$144,"2",D$10:D$144)</f>
        <v>0</v>
      </c>
      <c r="K13" s="183">
        <f t="shared" si="2"/>
        <v>1200</v>
      </c>
      <c r="L13" s="180"/>
      <c r="M13" s="177">
        <v>41.0</v>
      </c>
      <c r="N13" s="182" t="s">
        <v>19</v>
      </c>
      <c r="O13" s="183">
        <v>68.0</v>
      </c>
      <c r="P13" s="183">
        <f>SUMIF(E$10:E$144,"41",D$10:D$144)</f>
        <v>0</v>
      </c>
      <c r="Q13" s="183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45966.0</v>
      </c>
      <c r="C14" s="56"/>
      <c r="D14" s="56"/>
      <c r="E14" s="56"/>
      <c r="F14" s="7"/>
      <c r="G14" s="177">
        <v>3.0</v>
      </c>
      <c r="H14" s="184" t="s">
        <v>20</v>
      </c>
      <c r="I14" s="179">
        <v>250.0</v>
      </c>
      <c r="J14" s="183">
        <f>SUMIF(E$10:E$144,"3",D$10:D$144)</f>
        <v>0</v>
      </c>
      <c r="K14" s="183">
        <f t="shared" si="2"/>
        <v>250</v>
      </c>
      <c r="L14" s="180"/>
      <c r="M14" s="177">
        <v>42.0</v>
      </c>
      <c r="N14" s="182" t="s">
        <v>21</v>
      </c>
      <c r="O14" s="183">
        <v>440.0</v>
      </c>
      <c r="P14" s="183">
        <v>0.0</v>
      </c>
      <c r="Q14" s="183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45967.0</v>
      </c>
      <c r="C15" s="56"/>
      <c r="D15" s="56"/>
      <c r="E15" s="56"/>
      <c r="F15" s="7"/>
      <c r="G15" s="177">
        <v>4.0</v>
      </c>
      <c r="H15" s="182" t="s">
        <v>22</v>
      </c>
      <c r="I15" s="183">
        <v>1200.0</v>
      </c>
      <c r="J15" s="183">
        <v>1400.0</v>
      </c>
      <c r="K15" s="183">
        <f t="shared" si="2"/>
        <v>-200</v>
      </c>
      <c r="L15" s="180"/>
      <c r="M15" s="177">
        <v>43.0</v>
      </c>
      <c r="N15" s="182" t="s">
        <v>23</v>
      </c>
      <c r="O15" s="183">
        <v>240.0</v>
      </c>
      <c r="P15" s="183">
        <v>143.0</v>
      </c>
      <c r="Q15" s="183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45968.0</v>
      </c>
      <c r="C16" s="56"/>
      <c r="D16" s="56"/>
      <c r="E16" s="56"/>
      <c r="F16" s="7"/>
      <c r="G16" s="177">
        <v>5.0</v>
      </c>
      <c r="H16" s="182" t="s">
        <v>24</v>
      </c>
      <c r="I16" s="183">
        <v>120.0</v>
      </c>
      <c r="J16" s="183">
        <f>SUMIF(E$10:E$144,"5",D$10:D$144)</f>
        <v>0</v>
      </c>
      <c r="K16" s="183">
        <f t="shared" si="2"/>
        <v>120</v>
      </c>
      <c r="L16" s="180"/>
      <c r="M16" s="177">
        <v>44.0</v>
      </c>
      <c r="N16" s="182" t="s">
        <v>25</v>
      </c>
      <c r="O16" s="183">
        <v>110.0</v>
      </c>
      <c r="P16" s="183">
        <v>240.0</v>
      </c>
      <c r="Q16" s="183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45969.0</v>
      </c>
      <c r="C17" s="56"/>
      <c r="D17" s="56"/>
      <c r="E17" s="56"/>
      <c r="F17" s="7"/>
      <c r="G17" s="177">
        <v>6.0</v>
      </c>
      <c r="H17" s="182" t="s">
        <v>26</v>
      </c>
      <c r="I17" s="183">
        <v>150.0</v>
      </c>
      <c r="J17" s="183">
        <v>150.0</v>
      </c>
      <c r="K17" s="183">
        <f t="shared" si="2"/>
        <v>0</v>
      </c>
      <c r="L17" s="180"/>
      <c r="M17" s="177">
        <v>45.0</v>
      </c>
      <c r="N17" s="182" t="s">
        <v>27</v>
      </c>
      <c r="O17" s="183">
        <v>0.0</v>
      </c>
      <c r="P17" s="183">
        <f>SUMIF(E$10:E$144,"45",D$10:D$144)</f>
        <v>0</v>
      </c>
      <c r="Q17" s="183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45970.0</v>
      </c>
      <c r="C18" s="56"/>
      <c r="D18" s="56"/>
      <c r="E18" s="56"/>
      <c r="F18" s="7"/>
      <c r="G18" s="177">
        <v>7.0</v>
      </c>
      <c r="H18" s="182" t="s">
        <v>28</v>
      </c>
      <c r="I18" s="183">
        <v>77.0</v>
      </c>
      <c r="J18" s="183">
        <v>77.0</v>
      </c>
      <c r="K18" s="183">
        <f t="shared" si="2"/>
        <v>0</v>
      </c>
      <c r="L18" s="180"/>
      <c r="M18" s="177">
        <v>46.0</v>
      </c>
      <c r="N18" s="182" t="s">
        <v>29</v>
      </c>
      <c r="O18" s="183">
        <v>0.0</v>
      </c>
      <c r="P18" s="183">
        <f>SUMIF(E$10:E$144,"46",D$10:D$144)</f>
        <v>0</v>
      </c>
      <c r="Q18" s="183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45971.0</v>
      </c>
      <c r="C19" s="56"/>
      <c r="D19" s="56"/>
      <c r="E19" s="56"/>
      <c r="F19" s="7"/>
      <c r="G19" s="177">
        <v>8.0</v>
      </c>
      <c r="H19" s="182" t="s">
        <v>30</v>
      </c>
      <c r="I19" s="183">
        <v>55.0</v>
      </c>
      <c r="J19" s="183">
        <v>55.0</v>
      </c>
      <c r="K19" s="183">
        <f t="shared" si="2"/>
        <v>0</v>
      </c>
      <c r="L19" s="180"/>
      <c r="M19" s="177">
        <v>47.0</v>
      </c>
      <c r="N19" s="185"/>
      <c r="O19" s="183">
        <v>0.0</v>
      </c>
      <c r="P19" s="183">
        <f>SUMIF(E$10:E$144,"47",D$10:D$144)</f>
        <v>0</v>
      </c>
      <c r="Q19" s="183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45972.0</v>
      </c>
      <c r="C20" s="56"/>
      <c r="D20" s="56"/>
      <c r="E20" s="56"/>
      <c r="F20" s="7"/>
      <c r="G20" s="177">
        <v>9.0</v>
      </c>
      <c r="H20" s="182" t="s">
        <v>32</v>
      </c>
      <c r="I20" s="183">
        <v>175.0</v>
      </c>
      <c r="J20" s="183">
        <v>175.0</v>
      </c>
      <c r="K20" s="183">
        <f t="shared" si="2"/>
        <v>0</v>
      </c>
      <c r="L20" s="180"/>
      <c r="M20" s="177">
        <v>48.0</v>
      </c>
      <c r="N20" s="185"/>
      <c r="O20" s="183">
        <v>0.0</v>
      </c>
      <c r="P20" s="183">
        <f>SUMIF(E$10:E$144,"48",D$10:D$144)</f>
        <v>0</v>
      </c>
      <c r="Q20" s="183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45973.0</v>
      </c>
      <c r="C21" s="56"/>
      <c r="D21" s="56"/>
      <c r="E21" s="56"/>
      <c r="F21" s="7"/>
      <c r="G21" s="186">
        <v>10.0</v>
      </c>
      <c r="H21" s="187" t="s">
        <v>33</v>
      </c>
      <c r="I21" s="188"/>
      <c r="J21" s="189">
        <f>SUMIF(E$10:E$144,"10",D$10:D$144)</f>
        <v>0</v>
      </c>
      <c r="K21" s="189">
        <f t="shared" si="2"/>
        <v>0</v>
      </c>
      <c r="L21" s="180"/>
      <c r="M21" s="177">
        <v>49.0</v>
      </c>
      <c r="N21" s="190"/>
      <c r="O21" s="183">
        <v>0.0</v>
      </c>
      <c r="P21" s="183">
        <v>0.0</v>
      </c>
      <c r="Q21" s="183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45974.0</v>
      </c>
      <c r="C22" s="56"/>
      <c r="D22" s="56"/>
      <c r="E22" s="56"/>
      <c r="F22" s="7"/>
      <c r="G22" s="174"/>
      <c r="H22" s="191" t="s">
        <v>34</v>
      </c>
      <c r="I22" s="192">
        <f t="shared" ref="I22:J22" si="4">SUM(I12:I21)</f>
        <v>3377</v>
      </c>
      <c r="J22" s="192">
        <f t="shared" si="4"/>
        <v>1857</v>
      </c>
      <c r="K22" s="192">
        <f t="shared" si="2"/>
        <v>1520</v>
      </c>
      <c r="L22" s="193"/>
      <c r="M22" s="177">
        <v>50.0</v>
      </c>
      <c r="N22" s="185"/>
      <c r="O22" s="183">
        <v>0.0</v>
      </c>
      <c r="P22" s="183">
        <v>0.0</v>
      </c>
      <c r="Q22" s="183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45975.0</v>
      </c>
      <c r="C23" s="56"/>
      <c r="D23" s="56"/>
      <c r="E23" s="56"/>
      <c r="F23" s="7"/>
      <c r="G23" s="174"/>
      <c r="H23" s="194"/>
      <c r="I23" s="173"/>
      <c r="J23" s="173"/>
      <c r="K23" s="173"/>
      <c r="L23" s="193"/>
      <c r="M23" s="177">
        <v>51.0</v>
      </c>
      <c r="N23" s="182" t="s">
        <v>104</v>
      </c>
      <c r="O23" s="183">
        <v>0.0</v>
      </c>
      <c r="P23" s="183">
        <f>SUMIF(E$10:E$144,"51",D$10:D$144)</f>
        <v>0</v>
      </c>
      <c r="Q23" s="183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45976.0</v>
      </c>
      <c r="C24" s="56"/>
      <c r="D24" s="56"/>
      <c r="E24" s="56"/>
      <c r="F24" s="7"/>
      <c r="G24" s="174"/>
      <c r="H24" s="195" t="s">
        <v>35</v>
      </c>
      <c r="I24" s="172" t="s">
        <v>1</v>
      </c>
      <c r="J24" s="172" t="s">
        <v>2</v>
      </c>
      <c r="K24" s="172" t="s">
        <v>3</v>
      </c>
      <c r="L24" s="193"/>
      <c r="M24" s="174"/>
      <c r="N24" s="196" t="s">
        <v>34</v>
      </c>
      <c r="O24" s="192">
        <f t="shared" ref="O24:P24" si="5">SUM(O12:O23)</f>
        <v>916</v>
      </c>
      <c r="P24" s="192">
        <f t="shared" si="5"/>
        <v>428</v>
      </c>
      <c r="Q24" s="192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45977.0</v>
      </c>
      <c r="C25" s="56"/>
      <c r="D25" s="56"/>
      <c r="E25" s="56"/>
      <c r="F25" s="7"/>
      <c r="G25" s="177">
        <v>11.0</v>
      </c>
      <c r="H25" s="182" t="s">
        <v>36</v>
      </c>
      <c r="I25" s="179">
        <v>450.0</v>
      </c>
      <c r="J25" s="179">
        <v>450.0</v>
      </c>
      <c r="K25" s="179">
        <f t="shared" ref="K25:K29" si="6">+I25-J25</f>
        <v>0</v>
      </c>
      <c r="L25" s="197"/>
      <c r="M25" s="198"/>
      <c r="N25" s="174"/>
      <c r="O25" s="174"/>
      <c r="P25" s="174"/>
      <c r="Q25" s="174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45978.0</v>
      </c>
      <c r="C26" s="56"/>
      <c r="D26" s="56"/>
      <c r="E26" s="56"/>
      <c r="F26" s="7"/>
      <c r="G26" s="177">
        <v>12.0</v>
      </c>
      <c r="H26" s="182" t="s">
        <v>37</v>
      </c>
      <c r="I26" s="183">
        <v>140.0</v>
      </c>
      <c r="J26" s="183">
        <v>140.0</v>
      </c>
      <c r="K26" s="183">
        <f t="shared" si="6"/>
        <v>0</v>
      </c>
      <c r="L26" s="197"/>
      <c r="M26" s="174"/>
      <c r="N26" s="199" t="s">
        <v>38</v>
      </c>
      <c r="O26" s="172" t="s">
        <v>1</v>
      </c>
      <c r="P26" s="172" t="s">
        <v>2</v>
      </c>
      <c r="Q26" s="172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45979.0</v>
      </c>
      <c r="C27" s="56"/>
      <c r="D27" s="56"/>
      <c r="E27" s="56"/>
      <c r="F27" s="7"/>
      <c r="G27" s="177">
        <v>13.0</v>
      </c>
      <c r="H27" s="182" t="s">
        <v>39</v>
      </c>
      <c r="I27" s="183">
        <v>100.0</v>
      </c>
      <c r="J27" s="183">
        <v>250.0</v>
      </c>
      <c r="K27" s="183">
        <f t="shared" si="6"/>
        <v>-150</v>
      </c>
      <c r="L27" s="197"/>
      <c r="M27" s="200">
        <v>52.0</v>
      </c>
      <c r="N27" s="182" t="s">
        <v>40</v>
      </c>
      <c r="O27" s="179">
        <v>0.0</v>
      </c>
      <c r="P27" s="179">
        <f>SUMIF(E$10:E$144,"52",D$10:D$144)</f>
        <v>0</v>
      </c>
      <c r="Q27" s="179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45980.0</v>
      </c>
      <c r="C28" s="56"/>
      <c r="D28" s="56"/>
      <c r="E28" s="56"/>
      <c r="F28" s="7"/>
      <c r="G28" s="177">
        <v>14.0</v>
      </c>
      <c r="H28" s="182" t="s">
        <v>41</v>
      </c>
      <c r="I28" s="183">
        <v>140.0</v>
      </c>
      <c r="J28" s="183">
        <f>SUMIF(E$10:E$144,"14",D$10:D$144)</f>
        <v>0</v>
      </c>
      <c r="K28" s="183">
        <f t="shared" si="6"/>
        <v>140</v>
      </c>
      <c r="L28" s="197"/>
      <c r="M28" s="201">
        <v>53.0</v>
      </c>
      <c r="N28" s="182" t="s">
        <v>42</v>
      </c>
      <c r="O28" s="183">
        <v>0.0</v>
      </c>
      <c r="P28" s="183">
        <f>SUMIF(E$10:E$144,"53",D$10:D$144)</f>
        <v>0</v>
      </c>
      <c r="Q28" s="183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45981.0</v>
      </c>
      <c r="C29" s="56"/>
      <c r="D29" s="56"/>
      <c r="E29" s="56"/>
      <c r="F29" s="7"/>
      <c r="G29" s="174"/>
      <c r="H29" s="191" t="s">
        <v>34</v>
      </c>
      <c r="I29" s="192">
        <f t="shared" ref="I29:J29" si="8">SUM(I25:I28)</f>
        <v>830</v>
      </c>
      <c r="J29" s="192">
        <f t="shared" si="8"/>
        <v>840</v>
      </c>
      <c r="K29" s="192">
        <f t="shared" si="6"/>
        <v>-10</v>
      </c>
      <c r="L29" s="202"/>
      <c r="M29" s="181">
        <v>54.0</v>
      </c>
      <c r="N29" s="182" t="s">
        <v>43</v>
      </c>
      <c r="O29" s="183">
        <v>0.0</v>
      </c>
      <c r="P29" s="183">
        <f>SUMIF(E$10:E$144,"54",D$10:D$144)</f>
        <v>0</v>
      </c>
      <c r="Q29" s="183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45982.0</v>
      </c>
      <c r="C30" s="56"/>
      <c r="D30" s="56"/>
      <c r="E30" s="56"/>
      <c r="F30" s="7"/>
      <c r="G30" s="174"/>
      <c r="H30" s="180"/>
      <c r="I30" s="193"/>
      <c r="J30" s="193"/>
      <c r="K30" s="193"/>
      <c r="L30" s="173"/>
      <c r="M30" s="177">
        <v>55.0</v>
      </c>
      <c r="N30" s="182" t="s">
        <v>44</v>
      </c>
      <c r="O30" s="183">
        <v>140.0</v>
      </c>
      <c r="P30" s="183">
        <f>SUMIF(E$10:E$144,"55",D$10:D$144)</f>
        <v>0</v>
      </c>
      <c r="Q30" s="183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45983.0</v>
      </c>
      <c r="C31" s="56"/>
      <c r="D31" s="56"/>
      <c r="E31" s="56"/>
      <c r="F31" s="7"/>
      <c r="G31" s="174"/>
      <c r="H31" s="195" t="s">
        <v>45</v>
      </c>
      <c r="I31" s="172" t="s">
        <v>1</v>
      </c>
      <c r="J31" s="172" t="s">
        <v>2</v>
      </c>
      <c r="K31" s="172" t="s">
        <v>3</v>
      </c>
      <c r="L31" s="193"/>
      <c r="M31" s="177">
        <v>56.0</v>
      </c>
      <c r="N31" s="182" t="s">
        <v>46</v>
      </c>
      <c r="O31" s="183">
        <v>0.0</v>
      </c>
      <c r="P31" s="183">
        <f>SUMIF(E$10:E$144,"56",D$10:D$144)</f>
        <v>0</v>
      </c>
      <c r="Q31" s="183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45984.0</v>
      </c>
      <c r="C32" s="56"/>
      <c r="D32" s="56"/>
      <c r="E32" s="56"/>
      <c r="F32" s="7"/>
      <c r="G32" s="177">
        <v>15.0</v>
      </c>
      <c r="H32" s="182" t="s">
        <v>47</v>
      </c>
      <c r="I32" s="179">
        <v>45.0</v>
      </c>
      <c r="J32" s="179">
        <v>45.0</v>
      </c>
      <c r="K32" s="179">
        <f t="shared" ref="K32:K38" si="9">+I32-J32</f>
        <v>0</v>
      </c>
      <c r="L32" s="193"/>
      <c r="M32" s="177">
        <v>57.0</v>
      </c>
      <c r="N32" s="182" t="s">
        <v>48</v>
      </c>
      <c r="O32" s="183">
        <v>0.0</v>
      </c>
      <c r="P32" s="183">
        <f>SUMIF(E$10:E$144,"57",D$10:D$144)</f>
        <v>0</v>
      </c>
      <c r="Q32" s="183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45985.0</v>
      </c>
      <c r="C33" s="56"/>
      <c r="D33" s="56"/>
      <c r="E33" s="56"/>
      <c r="F33" s="7"/>
      <c r="G33" s="177">
        <v>16.0</v>
      </c>
      <c r="H33" s="182" t="s">
        <v>49</v>
      </c>
      <c r="I33" s="183">
        <v>89.0</v>
      </c>
      <c r="J33" s="183">
        <v>89.0</v>
      </c>
      <c r="K33" s="183">
        <f t="shared" si="9"/>
        <v>0</v>
      </c>
      <c r="L33" s="193"/>
      <c r="M33" s="177">
        <v>58.0</v>
      </c>
      <c r="N33" s="182" t="s">
        <v>50</v>
      </c>
      <c r="O33" s="183">
        <v>0.0</v>
      </c>
      <c r="P33" s="183">
        <f>SUMIF(E$10:E$144,"58",D$10:D$144)</f>
        <v>0</v>
      </c>
      <c r="Q33" s="183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45986.0</v>
      </c>
      <c r="C34" s="56"/>
      <c r="D34" s="56"/>
      <c r="E34" s="56"/>
      <c r="F34" s="7"/>
      <c r="G34" s="177">
        <v>17.0</v>
      </c>
      <c r="H34" s="182" t="s">
        <v>51</v>
      </c>
      <c r="I34" s="183">
        <v>24.0</v>
      </c>
      <c r="J34" s="183">
        <v>24.0</v>
      </c>
      <c r="K34" s="183">
        <f t="shared" si="9"/>
        <v>0</v>
      </c>
      <c r="L34" s="193"/>
      <c r="M34" s="174"/>
      <c r="N34" s="196" t="s">
        <v>34</v>
      </c>
      <c r="O34" s="192">
        <f t="shared" ref="O34:P34" si="10">SUM(O27:O33)</f>
        <v>140</v>
      </c>
      <c r="P34" s="192">
        <f t="shared" si="10"/>
        <v>0</v>
      </c>
      <c r="Q34" s="192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39">
        <v>45987.0</v>
      </c>
      <c r="C35" s="56"/>
      <c r="D35" s="56"/>
      <c r="E35" s="56"/>
      <c r="F35" s="7"/>
      <c r="G35" s="177">
        <v>18.0</v>
      </c>
      <c r="H35" s="185" t="s">
        <v>52</v>
      </c>
      <c r="I35" s="183">
        <v>21.9</v>
      </c>
      <c r="J35" s="183">
        <v>22.0</v>
      </c>
      <c r="K35" s="183">
        <f t="shared" si="9"/>
        <v>-0.1</v>
      </c>
      <c r="L35" s="193"/>
      <c r="M35" s="203"/>
      <c r="N35" s="174"/>
      <c r="O35" s="174"/>
      <c r="P35" s="174"/>
      <c r="Q35" s="174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39">
        <v>45988.0</v>
      </c>
      <c r="C36" s="56"/>
      <c r="D36" s="56"/>
      <c r="E36" s="56"/>
      <c r="F36" s="7"/>
      <c r="G36" s="177">
        <v>19.0</v>
      </c>
      <c r="H36" s="182" t="s">
        <v>53</v>
      </c>
      <c r="I36" s="183">
        <v>10.9</v>
      </c>
      <c r="J36" s="183">
        <v>11.0</v>
      </c>
      <c r="K36" s="183">
        <f t="shared" si="9"/>
        <v>-0.1</v>
      </c>
      <c r="L36" s="193"/>
      <c r="M36" s="174"/>
      <c r="N36" s="175" t="s">
        <v>54</v>
      </c>
      <c r="O36" s="176" t="s">
        <v>1</v>
      </c>
      <c r="P36" s="172" t="s">
        <v>2</v>
      </c>
      <c r="Q36" s="172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39">
        <v>45989.0</v>
      </c>
      <c r="C37" s="56"/>
      <c r="D37" s="56"/>
      <c r="E37" s="56"/>
      <c r="F37" s="7"/>
      <c r="G37" s="177">
        <v>20.0</v>
      </c>
      <c r="H37" s="182" t="s">
        <v>55</v>
      </c>
      <c r="I37" s="183">
        <v>34.5</v>
      </c>
      <c r="J37" s="183">
        <v>45.0</v>
      </c>
      <c r="K37" s="183">
        <f t="shared" si="9"/>
        <v>-10.5</v>
      </c>
      <c r="L37" s="193"/>
      <c r="M37" s="181">
        <v>60.0</v>
      </c>
      <c r="N37" s="178" t="s">
        <v>56</v>
      </c>
      <c r="O37" s="179">
        <v>450.0</v>
      </c>
      <c r="P37" s="179">
        <f>SUMIF(E$10:E$144,"60",D$10:D$144)</f>
        <v>0</v>
      </c>
      <c r="Q37" s="179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39">
        <v>45990.0</v>
      </c>
      <c r="C38" s="56"/>
      <c r="D38" s="56"/>
      <c r="E38" s="56"/>
      <c r="F38" s="7"/>
      <c r="G38" s="174"/>
      <c r="H38" s="191" t="s">
        <v>34</v>
      </c>
      <c r="I38" s="192">
        <f t="shared" ref="I38:J38" si="11">SUM(I32:I37)</f>
        <v>225.3</v>
      </c>
      <c r="J38" s="192">
        <f t="shared" si="11"/>
        <v>236</v>
      </c>
      <c r="K38" s="192">
        <f t="shared" si="9"/>
        <v>-10.7</v>
      </c>
      <c r="L38" s="193"/>
      <c r="M38" s="177">
        <v>61.0</v>
      </c>
      <c r="N38" s="182" t="s">
        <v>57</v>
      </c>
      <c r="O38" s="183">
        <v>0.0</v>
      </c>
      <c r="P38" s="183">
        <f>SUMIF(E$10:E$144,"61",D$10:D$144)</f>
        <v>0</v>
      </c>
      <c r="Q38" s="183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39">
        <v>45991.0</v>
      </c>
      <c r="C39" s="56"/>
      <c r="D39" s="56"/>
      <c r="E39" s="56"/>
      <c r="F39" s="7"/>
      <c r="G39" s="174"/>
      <c r="H39" s="174"/>
      <c r="I39" s="174"/>
      <c r="J39" s="174"/>
      <c r="K39" s="174"/>
      <c r="L39" s="193"/>
      <c r="M39" s="177">
        <v>62.0</v>
      </c>
      <c r="N39" s="182" t="s">
        <v>58</v>
      </c>
      <c r="O39" s="183">
        <v>120.0</v>
      </c>
      <c r="P39" s="183">
        <f>SUMIF(E$10:E$144,"62",D$10:D$144)</f>
        <v>0</v>
      </c>
      <c r="Q39" s="183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39"/>
      <c r="C40" s="56"/>
      <c r="D40" s="56"/>
      <c r="E40" s="56"/>
      <c r="F40" s="7"/>
      <c r="G40" s="174"/>
      <c r="H40" s="195" t="s">
        <v>59</v>
      </c>
      <c r="I40" s="172" t="s">
        <v>1</v>
      </c>
      <c r="J40" s="172" t="s">
        <v>2</v>
      </c>
      <c r="K40" s="172" t="s">
        <v>3</v>
      </c>
      <c r="L40" s="193"/>
      <c r="M40" s="177">
        <v>63.0</v>
      </c>
      <c r="N40" s="182" t="s">
        <v>60</v>
      </c>
      <c r="O40" s="183">
        <v>148.0</v>
      </c>
      <c r="P40" s="183">
        <f>SUMIF(E$10:E$144,"63",D$10:D$144)</f>
        <v>0</v>
      </c>
      <c r="Q40" s="183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15"/>
      <c r="C41" s="56"/>
      <c r="D41" s="56"/>
      <c r="E41" s="56"/>
      <c r="F41" s="7"/>
      <c r="G41" s="177">
        <v>21.0</v>
      </c>
      <c r="H41" s="182" t="s">
        <v>61</v>
      </c>
      <c r="I41" s="179">
        <v>120.0</v>
      </c>
      <c r="J41" s="179">
        <f>SUMIF(E$10:E$144,"21",D$10:D$144)</f>
        <v>0</v>
      </c>
      <c r="K41" s="179">
        <f t="shared" ref="K41:K51" si="13">+I41-J41</f>
        <v>120</v>
      </c>
      <c r="L41" s="204"/>
      <c r="M41" s="177">
        <v>64.0</v>
      </c>
      <c r="N41" s="182" t="s">
        <v>62</v>
      </c>
      <c r="O41" s="183">
        <v>60.0</v>
      </c>
      <c r="P41" s="183">
        <f>SUMIF(E$10:E$144,"64",D$10:D$144)</f>
        <v>0</v>
      </c>
      <c r="Q41" s="183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15"/>
      <c r="C42" s="56"/>
      <c r="D42" s="56"/>
      <c r="E42" s="56"/>
      <c r="F42" s="7"/>
      <c r="G42" s="177">
        <v>22.0</v>
      </c>
      <c r="H42" s="182" t="s">
        <v>63</v>
      </c>
      <c r="I42" s="183">
        <v>120.0</v>
      </c>
      <c r="J42" s="183">
        <f>SUMIF(E$10:E$144,"22",D$10:D$144)</f>
        <v>0</v>
      </c>
      <c r="K42" s="183">
        <f t="shared" si="13"/>
        <v>120</v>
      </c>
      <c r="L42" s="174"/>
      <c r="M42" s="174"/>
      <c r="N42" s="191" t="s">
        <v>34</v>
      </c>
      <c r="O42" s="192">
        <f t="shared" ref="O42:P42" si="14">SUM(O37:O41)</f>
        <v>778</v>
      </c>
      <c r="P42" s="192">
        <f t="shared" si="14"/>
        <v>0</v>
      </c>
      <c r="Q42" s="192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15"/>
      <c r="C43" s="56"/>
      <c r="D43" s="56"/>
      <c r="E43" s="56"/>
      <c r="F43" s="7"/>
      <c r="G43" s="177">
        <v>23.0</v>
      </c>
      <c r="H43" s="182" t="s">
        <v>64</v>
      </c>
      <c r="I43" s="183">
        <v>100.0</v>
      </c>
      <c r="J43" s="183">
        <f>SUMIF(E$10:E$144,"23",D$10:D$144)</f>
        <v>0</v>
      </c>
      <c r="K43" s="183">
        <f t="shared" si="13"/>
        <v>100</v>
      </c>
      <c r="L43" s="174"/>
      <c r="M43" s="174"/>
      <c r="N43" s="174"/>
      <c r="O43" s="174"/>
      <c r="P43" s="174"/>
      <c r="Q43" s="174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7"/>
      <c r="G44" s="177">
        <v>24.0</v>
      </c>
      <c r="H44" s="182" t="s">
        <v>65</v>
      </c>
      <c r="I44" s="183">
        <v>100.0</v>
      </c>
      <c r="J44" s="183">
        <f>SUMIF(E$10:E$144,"24",D$10:D$144)</f>
        <v>0</v>
      </c>
      <c r="K44" s="183">
        <f t="shared" si="13"/>
        <v>100</v>
      </c>
      <c r="L44" s="174"/>
      <c r="M44" s="174"/>
      <c r="N44" s="195" t="s">
        <v>66</v>
      </c>
      <c r="O44" s="172" t="s">
        <v>1</v>
      </c>
      <c r="P44" s="172" t="s">
        <v>2</v>
      </c>
      <c r="Q44" s="172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7"/>
      <c r="G45" s="177">
        <v>25.0</v>
      </c>
      <c r="H45" s="182" t="s">
        <v>67</v>
      </c>
      <c r="I45" s="183">
        <v>150.0</v>
      </c>
      <c r="J45" s="183">
        <f>SUMIF(E$10:E$144,"25",D$10:D$144)</f>
        <v>0</v>
      </c>
      <c r="K45" s="183">
        <f t="shared" si="13"/>
        <v>150</v>
      </c>
      <c r="L45" s="174"/>
      <c r="M45" s="177">
        <v>70.0</v>
      </c>
      <c r="N45" s="182" t="s">
        <v>68</v>
      </c>
      <c r="O45" s="183">
        <v>0.0</v>
      </c>
      <c r="P45" s="183">
        <f>SUMIF(E$10:E$144,"70",D$10:D$144)</f>
        <v>0</v>
      </c>
      <c r="Q45" s="183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7"/>
      <c r="G46" s="177">
        <v>26.0</v>
      </c>
      <c r="H46" s="182" t="s">
        <v>69</v>
      </c>
      <c r="I46" s="183">
        <v>0.0</v>
      </c>
      <c r="J46" s="183">
        <f>SUMIF(E$10:E$144,"26",D$10:D$144)</f>
        <v>0</v>
      </c>
      <c r="K46" s="183">
        <f t="shared" si="13"/>
        <v>0</v>
      </c>
      <c r="L46" s="174"/>
      <c r="M46" s="177">
        <v>71.0</v>
      </c>
      <c r="N46" s="182" t="s">
        <v>70</v>
      </c>
      <c r="O46" s="183">
        <v>0.0</v>
      </c>
      <c r="P46" s="183">
        <f>SUMIF(E$10:E$144,"71",D$10:D$144)</f>
        <v>0</v>
      </c>
      <c r="Q46" s="183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7"/>
      <c r="G47" s="177">
        <v>27.0</v>
      </c>
      <c r="H47" s="182" t="s">
        <v>71</v>
      </c>
      <c r="I47" s="183">
        <v>89.0</v>
      </c>
      <c r="J47" s="183">
        <f>SUMIF(E$10:E$144,"27",D$10:D$144)</f>
        <v>0</v>
      </c>
      <c r="K47" s="183">
        <f t="shared" si="13"/>
        <v>89</v>
      </c>
      <c r="L47" s="174"/>
      <c r="M47" s="177">
        <v>72.0</v>
      </c>
      <c r="N47" s="182" t="s">
        <v>72</v>
      </c>
      <c r="O47" s="183">
        <v>0.0</v>
      </c>
      <c r="P47" s="183">
        <f>SUMIF(E$10:E$144,"72",D$10:D$144)</f>
        <v>0</v>
      </c>
      <c r="Q47" s="183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7"/>
      <c r="G48" s="177">
        <v>28.0</v>
      </c>
      <c r="H48" s="182" t="s">
        <v>73</v>
      </c>
      <c r="I48" s="183">
        <v>0.0</v>
      </c>
      <c r="J48" s="183">
        <f>SUMIF(E$10:E$144,"28",D$10:D$144)</f>
        <v>0</v>
      </c>
      <c r="K48" s="183">
        <f t="shared" si="13"/>
        <v>0</v>
      </c>
      <c r="L48" s="174"/>
      <c r="M48" s="177">
        <v>73.0</v>
      </c>
      <c r="N48" s="182" t="s">
        <v>74</v>
      </c>
      <c r="O48" s="183">
        <v>0.0</v>
      </c>
      <c r="P48" s="183">
        <f>SUMIF(E$10:E$144,"73",D$10:D$144)</f>
        <v>0</v>
      </c>
      <c r="Q48" s="183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7"/>
      <c r="G49" s="177">
        <v>29.0</v>
      </c>
      <c r="H49" s="182" t="s">
        <v>75</v>
      </c>
      <c r="I49" s="183">
        <v>0.0</v>
      </c>
      <c r="J49" s="183">
        <f>SUMIF(E$10:E$144,"29",D$10:D$144)</f>
        <v>0</v>
      </c>
      <c r="K49" s="183">
        <f t="shared" si="13"/>
        <v>0</v>
      </c>
      <c r="L49" s="174"/>
      <c r="M49" s="177">
        <v>74.0</v>
      </c>
      <c r="N49" s="182" t="s">
        <v>76</v>
      </c>
      <c r="O49" s="183">
        <v>0.0</v>
      </c>
      <c r="P49" s="183">
        <f>SUMIF(E$10:E$144,"74",D$10:D$144)</f>
        <v>0</v>
      </c>
      <c r="Q49" s="183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7"/>
      <c r="G50" s="177">
        <v>30.0</v>
      </c>
      <c r="H50" s="182" t="s">
        <v>77</v>
      </c>
      <c r="I50" s="183">
        <v>0.0</v>
      </c>
      <c r="J50" s="183">
        <f>SUMIF(E$10:E$144,"30",D$10:D$144)</f>
        <v>0</v>
      </c>
      <c r="K50" s="183">
        <f t="shared" si="13"/>
        <v>0</v>
      </c>
      <c r="L50" s="174"/>
      <c r="M50" s="177">
        <v>75.0</v>
      </c>
      <c r="N50" s="182" t="s">
        <v>78</v>
      </c>
      <c r="O50" s="183">
        <v>0.0</v>
      </c>
      <c r="P50" s="183">
        <f>SUMIF(E$10:E$144,"75",D$10:D$144)</f>
        <v>0</v>
      </c>
      <c r="Q50" s="183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7"/>
      <c r="G51" s="174"/>
      <c r="H51" s="191" t="s">
        <v>34</v>
      </c>
      <c r="I51" s="192">
        <f t="shared" ref="I51:J51" si="16">SUM(I41:I50)</f>
        <v>679</v>
      </c>
      <c r="J51" s="192">
        <f t="shared" si="16"/>
        <v>0</v>
      </c>
      <c r="K51" s="192">
        <f t="shared" si="13"/>
        <v>679</v>
      </c>
      <c r="L51" s="174"/>
      <c r="M51" s="177">
        <v>76.0</v>
      </c>
      <c r="N51" s="182" t="s">
        <v>79</v>
      </c>
      <c r="O51" s="183">
        <v>0.0</v>
      </c>
      <c r="P51" s="183">
        <f>SUMIF(E$10:E$144,"76",D$10:D$144)</f>
        <v>0</v>
      </c>
      <c r="Q51" s="183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7"/>
      <c r="G52" s="174"/>
      <c r="H52" s="174"/>
      <c r="I52" s="174"/>
      <c r="J52" s="174"/>
      <c r="K52" s="174"/>
      <c r="L52" s="174"/>
      <c r="M52" s="174"/>
      <c r="N52" s="191" t="s">
        <v>34</v>
      </c>
      <c r="O52" s="192">
        <f t="shared" ref="O52:P52" si="17">SUM(O45:O51)</f>
        <v>0</v>
      </c>
      <c r="P52" s="192">
        <f t="shared" si="17"/>
        <v>0</v>
      </c>
      <c r="Q52" s="192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7"/>
      <c r="G53" s="174"/>
      <c r="H53" s="195" t="s">
        <v>80</v>
      </c>
      <c r="I53" s="172" t="s">
        <v>1</v>
      </c>
      <c r="J53" s="172" t="s">
        <v>2</v>
      </c>
      <c r="K53" s="172" t="s">
        <v>3</v>
      </c>
      <c r="L53" s="174"/>
      <c r="M53" s="174"/>
      <c r="N53" s="174"/>
      <c r="O53" s="174"/>
      <c r="P53" s="174"/>
      <c r="Q53" s="174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7"/>
      <c r="G54" s="177">
        <v>31.0</v>
      </c>
      <c r="H54" s="182" t="s">
        <v>81</v>
      </c>
      <c r="I54" s="183">
        <v>39.0</v>
      </c>
      <c r="J54" s="183">
        <f>SUMIF(E$10:E$144,"31",D$10:D$144)</f>
        <v>0</v>
      </c>
      <c r="K54" s="183">
        <f t="shared" ref="K54:K57" si="18">+I54-J54</f>
        <v>39</v>
      </c>
      <c r="L54" s="174"/>
      <c r="M54" s="174"/>
      <c r="N54" s="195" t="s">
        <v>105</v>
      </c>
      <c r="O54" s="172" t="s">
        <v>1</v>
      </c>
      <c r="P54" s="172" t="s">
        <v>2</v>
      </c>
      <c r="Q54" s="172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7"/>
      <c r="G55" s="177">
        <v>32.0</v>
      </c>
      <c r="H55" s="182" t="s">
        <v>83</v>
      </c>
      <c r="I55" s="183">
        <v>0.0</v>
      </c>
      <c r="J55" s="183">
        <f>SUMIF(E$10:E$144,"32",D$10:D$144)</f>
        <v>0</v>
      </c>
      <c r="K55" s="183">
        <f t="shared" si="18"/>
        <v>0</v>
      </c>
      <c r="L55" s="174"/>
      <c r="M55" s="177">
        <v>80.0</v>
      </c>
      <c r="N55" s="182" t="s">
        <v>106</v>
      </c>
      <c r="O55" s="179">
        <v>89.0</v>
      </c>
      <c r="P55" s="179">
        <f>SUMIF(E$10:E$144,"80",D$10:D$144)</f>
        <v>0</v>
      </c>
      <c r="Q55" s="179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7"/>
      <c r="G56" s="177">
        <v>33.0</v>
      </c>
      <c r="H56" s="182" t="s">
        <v>85</v>
      </c>
      <c r="I56" s="183">
        <v>0.0</v>
      </c>
      <c r="J56" s="183">
        <f>SUMIF(E$10:E$144,"33",D$10:D$144)</f>
        <v>0</v>
      </c>
      <c r="K56" s="183">
        <f t="shared" si="18"/>
        <v>0</v>
      </c>
      <c r="L56" s="174"/>
      <c r="M56" s="177">
        <v>81.0</v>
      </c>
      <c r="N56" s="182" t="s">
        <v>107</v>
      </c>
      <c r="O56" s="183">
        <v>0.0</v>
      </c>
      <c r="P56" s="183">
        <f>SUMIF(E$10:E$144,"81",D$10:D$144)</f>
        <v>0</v>
      </c>
      <c r="Q56" s="183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7"/>
      <c r="G57" s="174"/>
      <c r="H57" s="191" t="s">
        <v>34</v>
      </c>
      <c r="I57" s="192">
        <f t="shared" ref="I57:J57" si="20">SUM(I54:I56)</f>
        <v>39</v>
      </c>
      <c r="J57" s="192">
        <f t="shared" si="20"/>
        <v>0</v>
      </c>
      <c r="K57" s="192">
        <f t="shared" si="18"/>
        <v>39</v>
      </c>
      <c r="L57" s="174"/>
      <c r="M57" s="177">
        <v>82.0</v>
      </c>
      <c r="N57" s="182" t="s">
        <v>108</v>
      </c>
      <c r="O57" s="183">
        <v>140.0</v>
      </c>
      <c r="P57" s="183">
        <f>SUMIF(E$10:E$144,"82",D$10:D$144)</f>
        <v>0</v>
      </c>
      <c r="Q57" s="183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174"/>
      <c r="H58" s="174"/>
      <c r="I58" s="174"/>
      <c r="J58" s="174"/>
      <c r="K58" s="174"/>
      <c r="L58" s="174"/>
      <c r="M58" s="177">
        <v>83.0</v>
      </c>
      <c r="N58" s="182" t="s">
        <v>109</v>
      </c>
      <c r="O58" s="183">
        <v>0.0</v>
      </c>
      <c r="P58" s="183">
        <f>SUMIF(E$10:E$144,"83",D$10:D$144)</f>
        <v>0</v>
      </c>
      <c r="Q58" s="183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74"/>
      <c r="H59" s="195" t="s">
        <v>110</v>
      </c>
      <c r="I59" s="172" t="s">
        <v>1</v>
      </c>
      <c r="J59" s="172" t="s">
        <v>90</v>
      </c>
      <c r="K59" s="172" t="s">
        <v>91</v>
      </c>
      <c r="L59" s="174"/>
      <c r="M59" s="174"/>
      <c r="N59" s="191" t="s">
        <v>34</v>
      </c>
      <c r="O59" s="192">
        <f t="shared" ref="O59:P59" si="21">SUM(O55:O58)</f>
        <v>229</v>
      </c>
      <c r="P59" s="192">
        <f t="shared" si="21"/>
        <v>0</v>
      </c>
      <c r="Q59" s="192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77">
        <v>34.0</v>
      </c>
      <c r="H60" s="182" t="s">
        <v>93</v>
      </c>
      <c r="I60" s="179">
        <v>1200.0</v>
      </c>
      <c r="J60" s="179">
        <f>SUMIF(E$10:E$144,"34",D$10:D$144)</f>
        <v>0</v>
      </c>
      <c r="K60" s="179">
        <f>+I60-O620</f>
        <v>1200</v>
      </c>
      <c r="L60" s="174"/>
      <c r="M60" s="174"/>
      <c r="N60" s="174"/>
      <c r="O60" s="174"/>
      <c r="P60" s="174"/>
      <c r="Q60" s="174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77">
        <v>35.0</v>
      </c>
      <c r="H61" s="182" t="s">
        <v>94</v>
      </c>
      <c r="I61" s="183">
        <v>1200.0</v>
      </c>
      <c r="J61" s="183">
        <f>SUMIF(E$10:E$144,"35",D$10:D$144)</f>
        <v>0</v>
      </c>
      <c r="K61" s="183">
        <f t="shared" ref="K61:K64" si="22">+I61-J61</f>
        <v>1200</v>
      </c>
      <c r="L61" s="174"/>
      <c r="M61" s="174"/>
      <c r="N61" s="195" t="s">
        <v>111</v>
      </c>
      <c r="O61" s="172" t="s">
        <v>1</v>
      </c>
      <c r="P61" s="172" t="s">
        <v>2</v>
      </c>
      <c r="Q61" s="172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77">
        <v>36.0</v>
      </c>
      <c r="H62" s="182" t="s">
        <v>96</v>
      </c>
      <c r="I62" s="183">
        <v>1200.0</v>
      </c>
      <c r="J62" s="183">
        <f>SUMIF(E$10:E$144,"36",D$10:D$144)</f>
        <v>0</v>
      </c>
      <c r="K62" s="183">
        <f t="shared" si="22"/>
        <v>1200</v>
      </c>
      <c r="L62" s="174"/>
      <c r="M62" s="177">
        <v>90.0</v>
      </c>
      <c r="N62" s="182" t="s">
        <v>97</v>
      </c>
      <c r="O62" s="183">
        <v>0.0</v>
      </c>
      <c r="P62" s="183">
        <f>SUMIF(E$10:E$144,"90",D$10:D$144)</f>
        <v>0</v>
      </c>
      <c r="Q62" s="183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77">
        <v>37.0</v>
      </c>
      <c r="H63" s="182" t="s">
        <v>100</v>
      </c>
      <c r="I63" s="183">
        <v>1200.0</v>
      </c>
      <c r="J63" s="183">
        <f>SUMIF(E$10:E$144,"37",D$10:D$144)</f>
        <v>0</v>
      </c>
      <c r="K63" s="183">
        <f t="shared" si="22"/>
        <v>1200</v>
      </c>
      <c r="L63" s="174"/>
      <c r="M63" s="177">
        <v>91.0</v>
      </c>
      <c r="N63" s="182" t="s">
        <v>101</v>
      </c>
      <c r="O63" s="183">
        <v>0.0</v>
      </c>
      <c r="P63" s="183">
        <f>SUMIF(E$10:E$144,"91",D$10:D$144)</f>
        <v>0</v>
      </c>
      <c r="Q63" s="183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6"/>
      <c r="G64" s="174"/>
      <c r="H64" s="191" t="s">
        <v>34</v>
      </c>
      <c r="I64" s="192">
        <f t="shared" ref="I64:J64" si="24">SUM(I60:I63)</f>
        <v>4800</v>
      </c>
      <c r="J64" s="192">
        <f t="shared" si="24"/>
        <v>0</v>
      </c>
      <c r="K64" s="192">
        <f t="shared" si="22"/>
        <v>4800</v>
      </c>
      <c r="L64" s="174"/>
      <c r="M64" s="177">
        <v>92.0</v>
      </c>
      <c r="N64" s="182" t="s">
        <v>102</v>
      </c>
      <c r="O64" s="183">
        <v>0.0</v>
      </c>
      <c r="P64" s="183">
        <f>SUMIF(E$10:E$144,"92",D$10:D$144)</f>
        <v>0</v>
      </c>
      <c r="Q64" s="183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6"/>
      <c r="G65" s="174"/>
      <c r="H65" s="174"/>
      <c r="I65" s="174"/>
      <c r="J65" s="174"/>
      <c r="K65" s="174"/>
      <c r="L65" s="174"/>
      <c r="M65" s="174"/>
      <c r="N65" s="191" t="s">
        <v>34</v>
      </c>
      <c r="O65" s="192">
        <f t="shared" ref="O65:P65" si="25">SUM(O62:O64)</f>
        <v>0</v>
      </c>
      <c r="P65" s="192">
        <f t="shared" si="25"/>
        <v>0</v>
      </c>
      <c r="Q65" s="192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09"/>
      <c r="C96" s="109"/>
      <c r="D96" s="109"/>
      <c r="E96" s="109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09"/>
      <c r="C97" s="109"/>
      <c r="D97" s="109"/>
      <c r="E97" s="10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138"/>
      <c r="H114" s="6"/>
      <c r="I114" s="6"/>
      <c r="J114" s="6"/>
      <c r="K114" s="6"/>
      <c r="L114" s="6"/>
      <c r="M114" s="138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138"/>
      <c r="H115" s="6"/>
      <c r="I115" s="6"/>
      <c r="J115" s="6"/>
      <c r="K115" s="6"/>
      <c r="L115" s="6"/>
      <c r="M115" s="138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6"/>
      <c r="C127" s="6"/>
      <c r="D127" s="6"/>
      <c r="E127" s="6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6"/>
      <c r="C128" s="6"/>
      <c r="D128" s="6"/>
      <c r="E128" s="6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0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0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0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0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0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0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0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0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0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0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0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0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0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0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0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0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0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0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0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0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0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0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0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0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0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0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0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0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0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0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0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0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0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0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0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0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0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0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0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0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0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0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0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0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0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0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0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0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0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0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0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0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0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0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0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0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0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0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0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0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0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0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0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0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0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0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0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0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0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0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0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0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0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0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0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0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0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0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0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0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0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0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0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0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0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0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0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0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0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0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0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0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0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0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0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0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0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0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0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0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0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0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0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0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0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0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0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0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0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0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0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0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0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0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0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0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0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0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0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0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0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0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0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0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0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0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0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0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0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0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0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0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0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0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0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0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0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0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0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0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0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0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0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0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0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0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0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0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0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0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0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0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0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0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0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0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0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0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0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0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0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0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0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0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0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0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0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0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0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0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0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0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0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0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0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0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0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0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0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0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0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0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0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0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0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0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0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0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0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0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0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0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0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0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0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0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0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0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0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0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0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0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0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0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0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0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0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0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0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0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0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0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0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0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0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0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0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0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0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0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0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0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0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0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0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0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0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0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0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0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0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0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0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0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0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0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0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0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0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0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0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0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0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0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0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0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0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0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0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0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0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0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0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0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0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0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0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0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0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0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0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0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0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0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0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0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0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0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0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0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0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0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0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0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0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0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0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0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0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0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0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0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0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0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0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0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0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0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0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0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0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0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0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0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0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0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0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10:E93">
    <cfRule type="cellIs" dxfId="0" priority="1" operator="notBetween">
      <formula>0</formula>
      <formula>100</formula>
    </cfRule>
  </conditionalFormatting>
  <conditionalFormatting sqref="E94:E95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57"/>
    <col customWidth="1" min="2" max="5" width="11.0"/>
    <col customWidth="1" min="6" max="6" width="6.71"/>
    <col customWidth="1" min="7" max="7" width="3.71"/>
    <col customWidth="1" min="8" max="8" width="22.71"/>
    <col customWidth="1" min="9" max="11" width="11.71"/>
    <col customWidth="1" min="12" max="12" width="6.71"/>
    <col customWidth="1" min="13" max="13" width="3.71"/>
    <col customWidth="1" min="14" max="14" width="22.71"/>
    <col customWidth="1" min="15" max="17" width="11.71"/>
    <col customWidth="1" min="18" max="26" width="9.14"/>
  </cols>
  <sheetData>
    <row r="1" ht="79.5" customHeight="1">
      <c r="A1" s="5"/>
      <c r="B1" s="167" t="s">
        <v>113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4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7"/>
      <c r="C3" s="7"/>
      <c r="D3" s="7"/>
      <c r="E3" s="7"/>
      <c r="F3" s="7"/>
      <c r="G3" s="8"/>
      <c r="H3" s="9"/>
      <c r="I3" s="10" t="s">
        <v>1</v>
      </c>
      <c r="J3" s="11"/>
      <c r="K3" s="10" t="s">
        <v>2</v>
      </c>
      <c r="L3" s="3"/>
      <c r="M3" s="11"/>
      <c r="N3" s="9" t="s">
        <v>3</v>
      </c>
      <c r="O3" s="7"/>
      <c r="P3" s="7"/>
      <c r="Q3" s="7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7"/>
      <c r="C4" s="7"/>
      <c r="D4" s="7"/>
      <c r="E4" s="7"/>
      <c r="F4" s="7"/>
      <c r="G4" s="8"/>
      <c r="H4" s="12" t="s">
        <v>4</v>
      </c>
      <c r="I4" s="13">
        <v>2398.0</v>
      </c>
      <c r="J4" s="14">
        <v>1940.0</v>
      </c>
      <c r="K4" s="13">
        <v>1940.0</v>
      </c>
      <c r="L4" s="15"/>
      <c r="M4" s="16"/>
      <c r="N4" s="17">
        <f>I4-K4</f>
        <v>458</v>
      </c>
      <c r="O4" s="7"/>
      <c r="P4" s="7"/>
      <c r="Q4" s="7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7"/>
      <c r="C5" s="7"/>
      <c r="D5" s="7"/>
      <c r="E5" s="7"/>
      <c r="F5" s="7"/>
      <c r="G5" s="8"/>
      <c r="H5" s="18" t="s">
        <v>5</v>
      </c>
      <c r="I5" s="19">
        <v>2500.0</v>
      </c>
      <c r="J5" s="20">
        <v>2500.0</v>
      </c>
      <c r="K5" s="19">
        <v>2500.0</v>
      </c>
      <c r="L5" s="21"/>
      <c r="M5" s="22"/>
      <c r="N5" s="23">
        <f>I5-J5</f>
        <v>0</v>
      </c>
      <c r="O5" s="7"/>
      <c r="P5" s="24"/>
      <c r="Q5" s="7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25" t="s">
        <v>6</v>
      </c>
      <c r="C6" s="26"/>
      <c r="D6" s="26"/>
      <c r="E6" s="27"/>
      <c r="F6" s="7"/>
      <c r="G6" s="8"/>
      <c r="H6" s="28" t="s">
        <v>7</v>
      </c>
      <c r="I6" s="29">
        <f>+I4+I5</f>
        <v>4898</v>
      </c>
      <c r="J6" s="30"/>
      <c r="K6" s="29">
        <f>+K4+K5</f>
        <v>4440</v>
      </c>
      <c r="L6" s="31"/>
      <c r="M6" s="30"/>
      <c r="N6" s="32">
        <f t="shared" ref="N6:N7" si="1">+I6-K6</f>
        <v>458</v>
      </c>
      <c r="O6" s="7"/>
      <c r="P6" s="7"/>
      <c r="Q6" s="7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33"/>
      <c r="C7" s="34"/>
      <c r="D7" s="34"/>
      <c r="E7" s="35"/>
      <c r="F7" s="7"/>
      <c r="G7" s="8"/>
      <c r="H7" s="36" t="s">
        <v>8</v>
      </c>
      <c r="I7" s="37">
        <f>+SUM(I22,O24,I29,O34,I38,O42,I51,O52,I57,O59,I64,O65,)</f>
        <v>12013.3</v>
      </c>
      <c r="J7" s="38"/>
      <c r="K7" s="37">
        <f>+SUM(J22,J29,J38,J51,J57,J64,P65,P59,P52,P42,P34,P24,)</f>
        <v>3361</v>
      </c>
      <c r="L7" s="39"/>
      <c r="M7" s="38"/>
      <c r="N7" s="40">
        <f t="shared" si="1"/>
        <v>8652.3</v>
      </c>
      <c r="O7" s="7"/>
      <c r="P7" s="7"/>
      <c r="Q7" s="7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41" t="s">
        <v>9</v>
      </c>
      <c r="C8" s="42" t="s">
        <v>10</v>
      </c>
      <c r="D8" s="43" t="s">
        <v>11</v>
      </c>
      <c r="E8" s="44" t="s">
        <v>12</v>
      </c>
      <c r="F8" s="7"/>
      <c r="G8" s="8"/>
      <c r="H8" s="45" t="s">
        <v>13</v>
      </c>
      <c r="I8" s="46">
        <f>+I6-I7</f>
        <v>-7115.3</v>
      </c>
      <c r="J8" s="47"/>
      <c r="K8" s="46">
        <f>+K6-K7</f>
        <v>1079</v>
      </c>
      <c r="L8" s="48"/>
      <c r="M8" s="47"/>
      <c r="N8" s="49">
        <f>I8-K8</f>
        <v>-8194.3</v>
      </c>
      <c r="O8" s="7"/>
      <c r="P8" s="7"/>
      <c r="Q8" s="7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50"/>
      <c r="C9" s="51"/>
      <c r="D9" s="52">
        <f>SUM(D10:D111)</f>
        <v>0</v>
      </c>
      <c r="E9" s="53"/>
      <c r="F9" s="7"/>
      <c r="G9" s="8"/>
      <c r="H9" s="6"/>
      <c r="I9" s="6"/>
      <c r="J9" s="6"/>
      <c r="K9" s="6"/>
      <c r="L9" s="6"/>
      <c r="M9" s="6"/>
      <c r="N9" s="6"/>
      <c r="O9" s="54"/>
      <c r="P9" s="54"/>
      <c r="Q9" s="54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6"/>
      <c r="B10" s="139">
        <v>45992.0</v>
      </c>
      <c r="C10" s="56"/>
      <c r="D10" s="56"/>
      <c r="E10" s="56"/>
      <c r="F10" s="7"/>
      <c r="G10" s="8"/>
      <c r="H10" s="7"/>
      <c r="I10" s="7"/>
      <c r="J10" s="7"/>
      <c r="K10" s="7"/>
      <c r="L10" s="7"/>
      <c r="M10" s="8"/>
      <c r="N10" s="7"/>
      <c r="O10" s="7"/>
      <c r="P10" s="7"/>
      <c r="Q10" s="7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6"/>
      <c r="B11" s="139">
        <v>45993.0</v>
      </c>
      <c r="C11" s="56"/>
      <c r="D11" s="56"/>
      <c r="E11" s="56"/>
      <c r="F11" s="185"/>
      <c r="G11" s="170"/>
      <c r="H11" s="171" t="s">
        <v>14</v>
      </c>
      <c r="I11" s="172" t="s">
        <v>1</v>
      </c>
      <c r="J11" s="172" t="s">
        <v>2</v>
      </c>
      <c r="K11" s="172" t="s">
        <v>3</v>
      </c>
      <c r="L11" s="173"/>
      <c r="M11" s="174"/>
      <c r="N11" s="175" t="s">
        <v>15</v>
      </c>
      <c r="O11" s="176" t="s">
        <v>1</v>
      </c>
      <c r="P11" s="172" t="s">
        <v>2</v>
      </c>
      <c r="Q11" s="172" t="s">
        <v>3</v>
      </c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6"/>
      <c r="B12" s="139">
        <v>45994.0</v>
      </c>
      <c r="C12" s="56"/>
      <c r="D12" s="56"/>
      <c r="E12" s="56"/>
      <c r="F12" s="185"/>
      <c r="G12" s="177">
        <v>1.0</v>
      </c>
      <c r="H12" s="212" t="s">
        <v>16</v>
      </c>
      <c r="I12" s="179">
        <v>150.0</v>
      </c>
      <c r="J12" s="179">
        <f>SUMIF(E$10:E$144,"1",D$10:D$144)</f>
        <v>0</v>
      </c>
      <c r="K12" s="179">
        <f t="shared" ref="K12:K22" si="2">+I12-J12</f>
        <v>150</v>
      </c>
      <c r="L12" s="180"/>
      <c r="M12" s="181">
        <v>40.0</v>
      </c>
      <c r="N12" s="178" t="s">
        <v>17</v>
      </c>
      <c r="O12" s="179">
        <v>58.0</v>
      </c>
      <c r="P12" s="179">
        <v>45.0</v>
      </c>
      <c r="Q12" s="179">
        <f t="shared" ref="Q12:Q24" si="3">+O12-P12</f>
        <v>13</v>
      </c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6"/>
      <c r="B13" s="139">
        <v>45995.0</v>
      </c>
      <c r="C13" s="56"/>
      <c r="D13" s="56"/>
      <c r="E13" s="56"/>
      <c r="F13" s="185"/>
      <c r="G13" s="177">
        <v>2.0</v>
      </c>
      <c r="H13" s="182" t="s">
        <v>18</v>
      </c>
      <c r="I13" s="179">
        <v>1200.0</v>
      </c>
      <c r="J13" s="183">
        <f>SUMIF(E$10:E$144,"2",D$10:D$144)</f>
        <v>0</v>
      </c>
      <c r="K13" s="183">
        <f t="shared" si="2"/>
        <v>1200</v>
      </c>
      <c r="L13" s="180"/>
      <c r="M13" s="177">
        <v>41.0</v>
      </c>
      <c r="N13" s="182" t="s">
        <v>19</v>
      </c>
      <c r="O13" s="183">
        <v>68.0</v>
      </c>
      <c r="P13" s="183">
        <f>SUMIF(E$10:E$144,"41",D$10:D$144)</f>
        <v>0</v>
      </c>
      <c r="Q13" s="183">
        <f t="shared" si="3"/>
        <v>68</v>
      </c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6"/>
      <c r="B14" s="139">
        <v>45996.0</v>
      </c>
      <c r="C14" s="56"/>
      <c r="D14" s="56"/>
      <c r="E14" s="56"/>
      <c r="F14" s="185"/>
      <c r="G14" s="177">
        <v>3.0</v>
      </c>
      <c r="H14" s="184" t="s">
        <v>20</v>
      </c>
      <c r="I14" s="179">
        <v>250.0</v>
      </c>
      <c r="J14" s="183">
        <f>SUMIF(E$10:E$144,"3",D$10:D$144)</f>
        <v>0</v>
      </c>
      <c r="K14" s="183">
        <f t="shared" si="2"/>
        <v>250</v>
      </c>
      <c r="L14" s="180"/>
      <c r="M14" s="177">
        <v>42.0</v>
      </c>
      <c r="N14" s="182" t="s">
        <v>21</v>
      </c>
      <c r="O14" s="183">
        <v>440.0</v>
      </c>
      <c r="P14" s="183">
        <v>0.0</v>
      </c>
      <c r="Q14" s="183">
        <f t="shared" si="3"/>
        <v>440</v>
      </c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6"/>
      <c r="B15" s="139">
        <v>45997.0</v>
      </c>
      <c r="C15" s="56"/>
      <c r="D15" s="56"/>
      <c r="E15" s="56"/>
      <c r="F15" s="185"/>
      <c r="G15" s="177">
        <v>4.0</v>
      </c>
      <c r="H15" s="182" t="s">
        <v>22</v>
      </c>
      <c r="I15" s="183">
        <v>1200.0</v>
      </c>
      <c r="J15" s="183">
        <v>1400.0</v>
      </c>
      <c r="K15" s="183">
        <f t="shared" si="2"/>
        <v>-200</v>
      </c>
      <c r="L15" s="180"/>
      <c r="M15" s="177">
        <v>43.0</v>
      </c>
      <c r="N15" s="182" t="s">
        <v>23</v>
      </c>
      <c r="O15" s="183">
        <v>240.0</v>
      </c>
      <c r="P15" s="183">
        <v>143.0</v>
      </c>
      <c r="Q15" s="183">
        <f t="shared" si="3"/>
        <v>97</v>
      </c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6"/>
      <c r="B16" s="139">
        <v>45998.0</v>
      </c>
      <c r="C16" s="56"/>
      <c r="D16" s="56"/>
      <c r="E16" s="56"/>
      <c r="F16" s="185"/>
      <c r="G16" s="177">
        <v>5.0</v>
      </c>
      <c r="H16" s="182" t="s">
        <v>24</v>
      </c>
      <c r="I16" s="183">
        <v>120.0</v>
      </c>
      <c r="J16" s="183">
        <f>SUMIF(E$10:E$144,"5",D$10:D$144)</f>
        <v>0</v>
      </c>
      <c r="K16" s="183">
        <f t="shared" si="2"/>
        <v>120</v>
      </c>
      <c r="L16" s="180"/>
      <c r="M16" s="177">
        <v>44.0</v>
      </c>
      <c r="N16" s="182" t="s">
        <v>25</v>
      </c>
      <c r="O16" s="183">
        <v>110.0</v>
      </c>
      <c r="P16" s="183">
        <v>240.0</v>
      </c>
      <c r="Q16" s="183">
        <f t="shared" si="3"/>
        <v>-130</v>
      </c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6"/>
      <c r="B17" s="139">
        <v>45999.0</v>
      </c>
      <c r="C17" s="56"/>
      <c r="D17" s="56"/>
      <c r="E17" s="56"/>
      <c r="F17" s="185"/>
      <c r="G17" s="177">
        <v>6.0</v>
      </c>
      <c r="H17" s="182" t="s">
        <v>26</v>
      </c>
      <c r="I17" s="183">
        <v>150.0</v>
      </c>
      <c r="J17" s="183">
        <v>150.0</v>
      </c>
      <c r="K17" s="183">
        <f t="shared" si="2"/>
        <v>0</v>
      </c>
      <c r="L17" s="180"/>
      <c r="M17" s="177">
        <v>45.0</v>
      </c>
      <c r="N17" s="182" t="s">
        <v>27</v>
      </c>
      <c r="O17" s="183">
        <v>0.0</v>
      </c>
      <c r="P17" s="183">
        <f>SUMIF(E$10:E$144,"45",D$10:D$144)</f>
        <v>0</v>
      </c>
      <c r="Q17" s="183">
        <f t="shared" si="3"/>
        <v>0</v>
      </c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6"/>
      <c r="B18" s="139">
        <v>46000.0</v>
      </c>
      <c r="C18" s="56"/>
      <c r="D18" s="56"/>
      <c r="E18" s="56"/>
      <c r="F18" s="185"/>
      <c r="G18" s="177">
        <v>7.0</v>
      </c>
      <c r="H18" s="182" t="s">
        <v>28</v>
      </c>
      <c r="I18" s="183">
        <v>77.0</v>
      </c>
      <c r="J18" s="183">
        <v>77.0</v>
      </c>
      <c r="K18" s="183">
        <f t="shared" si="2"/>
        <v>0</v>
      </c>
      <c r="L18" s="180"/>
      <c r="M18" s="177">
        <v>46.0</v>
      </c>
      <c r="N18" s="182" t="s">
        <v>29</v>
      </c>
      <c r="O18" s="183">
        <v>0.0</v>
      </c>
      <c r="P18" s="183">
        <f>SUMIF(E$10:E$144,"46",D$10:D$144)</f>
        <v>0</v>
      </c>
      <c r="Q18" s="183">
        <f t="shared" si="3"/>
        <v>0</v>
      </c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6"/>
      <c r="B19" s="139">
        <v>46001.0</v>
      </c>
      <c r="C19" s="56"/>
      <c r="D19" s="56"/>
      <c r="E19" s="56"/>
      <c r="F19" s="185"/>
      <c r="G19" s="177">
        <v>8.0</v>
      </c>
      <c r="H19" s="182" t="s">
        <v>30</v>
      </c>
      <c r="I19" s="183">
        <v>55.0</v>
      </c>
      <c r="J19" s="183">
        <v>55.0</v>
      </c>
      <c r="K19" s="183">
        <f t="shared" si="2"/>
        <v>0</v>
      </c>
      <c r="L19" s="180"/>
      <c r="M19" s="177">
        <v>47.0</v>
      </c>
      <c r="N19" s="185"/>
      <c r="O19" s="183">
        <v>0.0</v>
      </c>
      <c r="P19" s="183">
        <f>SUMIF(E$10:E$144,"47",D$10:D$144)</f>
        <v>0</v>
      </c>
      <c r="Q19" s="183">
        <f t="shared" si="3"/>
        <v>0</v>
      </c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6"/>
      <c r="B20" s="139">
        <v>46002.0</v>
      </c>
      <c r="C20" s="56"/>
      <c r="D20" s="56"/>
      <c r="E20" s="56"/>
      <c r="F20" s="185"/>
      <c r="G20" s="177">
        <v>9.0</v>
      </c>
      <c r="H20" s="182" t="s">
        <v>32</v>
      </c>
      <c r="I20" s="183">
        <v>175.0</v>
      </c>
      <c r="J20" s="183">
        <v>175.0</v>
      </c>
      <c r="K20" s="183">
        <f t="shared" si="2"/>
        <v>0</v>
      </c>
      <c r="L20" s="180"/>
      <c r="M20" s="177">
        <v>48.0</v>
      </c>
      <c r="N20" s="185"/>
      <c r="O20" s="183">
        <v>0.0</v>
      </c>
      <c r="P20" s="183">
        <f>SUMIF(E$10:E$144,"48",D$10:D$144)</f>
        <v>0</v>
      </c>
      <c r="Q20" s="183">
        <f t="shared" si="3"/>
        <v>0</v>
      </c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6"/>
      <c r="B21" s="139">
        <v>46003.0</v>
      </c>
      <c r="C21" s="56"/>
      <c r="D21" s="56"/>
      <c r="E21" s="56"/>
      <c r="F21" s="185"/>
      <c r="G21" s="186">
        <v>10.0</v>
      </c>
      <c r="H21" s="187" t="s">
        <v>33</v>
      </c>
      <c r="I21" s="188"/>
      <c r="J21" s="189">
        <f>SUMIF(E$10:E$144,"10",D$10:D$144)</f>
        <v>0</v>
      </c>
      <c r="K21" s="189">
        <f t="shared" si="2"/>
        <v>0</v>
      </c>
      <c r="L21" s="180"/>
      <c r="M21" s="177">
        <v>49.0</v>
      </c>
      <c r="N21" s="190"/>
      <c r="O21" s="183">
        <v>0.0</v>
      </c>
      <c r="P21" s="183">
        <v>0.0</v>
      </c>
      <c r="Q21" s="183">
        <f t="shared" si="3"/>
        <v>0</v>
      </c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6"/>
      <c r="B22" s="139">
        <v>46004.0</v>
      </c>
      <c r="C22" s="56"/>
      <c r="D22" s="56"/>
      <c r="E22" s="56"/>
      <c r="F22" s="185"/>
      <c r="G22" s="174"/>
      <c r="H22" s="191" t="s">
        <v>34</v>
      </c>
      <c r="I22" s="192">
        <f t="shared" ref="I22:J22" si="4">SUM(I12:I21)</f>
        <v>3377</v>
      </c>
      <c r="J22" s="192">
        <f t="shared" si="4"/>
        <v>1857</v>
      </c>
      <c r="K22" s="192">
        <f t="shared" si="2"/>
        <v>1520</v>
      </c>
      <c r="L22" s="193"/>
      <c r="M22" s="177">
        <v>50.0</v>
      </c>
      <c r="N22" s="185"/>
      <c r="O22" s="183">
        <v>0.0</v>
      </c>
      <c r="P22" s="183">
        <v>0.0</v>
      </c>
      <c r="Q22" s="183">
        <f t="shared" si="3"/>
        <v>0</v>
      </c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6"/>
      <c r="B23" s="139">
        <v>46005.0</v>
      </c>
      <c r="C23" s="56"/>
      <c r="D23" s="56"/>
      <c r="E23" s="56"/>
      <c r="F23" s="185"/>
      <c r="G23" s="174"/>
      <c r="H23" s="194"/>
      <c r="I23" s="173"/>
      <c r="J23" s="173"/>
      <c r="K23" s="173"/>
      <c r="L23" s="193"/>
      <c r="M23" s="177">
        <v>51.0</v>
      </c>
      <c r="N23" s="182" t="s">
        <v>104</v>
      </c>
      <c r="O23" s="183">
        <v>0.0</v>
      </c>
      <c r="P23" s="183">
        <f>SUMIF(E$10:E$144,"51",D$10:D$144)</f>
        <v>0</v>
      </c>
      <c r="Q23" s="183">
        <f t="shared" si="3"/>
        <v>0</v>
      </c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6"/>
      <c r="B24" s="139">
        <v>46006.0</v>
      </c>
      <c r="C24" s="56"/>
      <c r="D24" s="56"/>
      <c r="E24" s="56"/>
      <c r="F24" s="185"/>
      <c r="G24" s="174"/>
      <c r="H24" s="195" t="s">
        <v>35</v>
      </c>
      <c r="I24" s="213" t="s">
        <v>1</v>
      </c>
      <c r="J24" s="213" t="s">
        <v>2</v>
      </c>
      <c r="K24" s="213" t="s">
        <v>3</v>
      </c>
      <c r="L24" s="193"/>
      <c r="M24" s="174"/>
      <c r="N24" s="196" t="s">
        <v>34</v>
      </c>
      <c r="O24" s="192">
        <f t="shared" ref="O24:P24" si="5">SUM(O12:O23)</f>
        <v>916</v>
      </c>
      <c r="P24" s="192">
        <f t="shared" si="5"/>
        <v>428</v>
      </c>
      <c r="Q24" s="192">
        <f t="shared" si="3"/>
        <v>488</v>
      </c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6"/>
      <c r="B25" s="139">
        <v>46007.0</v>
      </c>
      <c r="C25" s="56"/>
      <c r="D25" s="56"/>
      <c r="E25" s="56"/>
      <c r="F25" s="185"/>
      <c r="G25" s="177">
        <v>11.0</v>
      </c>
      <c r="H25" s="182" t="s">
        <v>36</v>
      </c>
      <c r="I25" s="179">
        <v>450.0</v>
      </c>
      <c r="J25" s="179">
        <v>450.0</v>
      </c>
      <c r="K25" s="179">
        <f t="shared" ref="K25:K29" si="6">+I25-J25</f>
        <v>0</v>
      </c>
      <c r="L25" s="197"/>
      <c r="M25" s="198"/>
      <c r="N25" s="174"/>
      <c r="O25" s="174"/>
      <c r="P25" s="174"/>
      <c r="Q25" s="174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6"/>
      <c r="B26" s="139">
        <v>46008.0</v>
      </c>
      <c r="C26" s="56"/>
      <c r="D26" s="56"/>
      <c r="E26" s="56"/>
      <c r="F26" s="185"/>
      <c r="G26" s="177">
        <v>12.0</v>
      </c>
      <c r="H26" s="182" t="s">
        <v>37</v>
      </c>
      <c r="I26" s="183">
        <v>140.0</v>
      </c>
      <c r="J26" s="183">
        <v>140.0</v>
      </c>
      <c r="K26" s="183">
        <f t="shared" si="6"/>
        <v>0</v>
      </c>
      <c r="L26" s="197"/>
      <c r="M26" s="174"/>
      <c r="N26" s="199" t="s">
        <v>38</v>
      </c>
      <c r="O26" s="172" t="s">
        <v>1</v>
      </c>
      <c r="P26" s="172" t="s">
        <v>2</v>
      </c>
      <c r="Q26" s="172" t="s">
        <v>3</v>
      </c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6"/>
      <c r="B27" s="139">
        <v>46009.0</v>
      </c>
      <c r="C27" s="56"/>
      <c r="D27" s="56"/>
      <c r="E27" s="56"/>
      <c r="F27" s="185"/>
      <c r="G27" s="177">
        <v>13.0</v>
      </c>
      <c r="H27" s="182" t="s">
        <v>39</v>
      </c>
      <c r="I27" s="183">
        <v>100.0</v>
      </c>
      <c r="J27" s="183">
        <v>250.0</v>
      </c>
      <c r="K27" s="183">
        <f t="shared" si="6"/>
        <v>-150</v>
      </c>
      <c r="L27" s="197"/>
      <c r="M27" s="200">
        <v>52.0</v>
      </c>
      <c r="N27" s="182" t="s">
        <v>40</v>
      </c>
      <c r="O27" s="179">
        <v>0.0</v>
      </c>
      <c r="P27" s="179">
        <f>SUMIF(E$10:E$144,"52",D$10:D$144)</f>
        <v>0</v>
      </c>
      <c r="Q27" s="179">
        <f t="shared" ref="Q27:Q34" si="7">+O27-P27</f>
        <v>0</v>
      </c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6"/>
      <c r="B28" s="139">
        <v>46010.0</v>
      </c>
      <c r="C28" s="56"/>
      <c r="D28" s="56"/>
      <c r="E28" s="56"/>
      <c r="F28" s="185"/>
      <c r="G28" s="177">
        <v>14.0</v>
      </c>
      <c r="H28" s="182" t="s">
        <v>41</v>
      </c>
      <c r="I28" s="183">
        <v>140.0</v>
      </c>
      <c r="J28" s="183">
        <f>SUMIF(E$10:E$144,"14",D$10:D$144)</f>
        <v>0</v>
      </c>
      <c r="K28" s="183">
        <f t="shared" si="6"/>
        <v>140</v>
      </c>
      <c r="L28" s="197"/>
      <c r="M28" s="201">
        <v>53.0</v>
      </c>
      <c r="N28" s="182" t="s">
        <v>42</v>
      </c>
      <c r="O28" s="183">
        <v>0.0</v>
      </c>
      <c r="P28" s="183">
        <f>SUMIF(E$10:E$144,"53",D$10:D$144)</f>
        <v>0</v>
      </c>
      <c r="Q28" s="183">
        <f t="shared" si="7"/>
        <v>0</v>
      </c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6"/>
      <c r="B29" s="139">
        <v>46011.0</v>
      </c>
      <c r="C29" s="56"/>
      <c r="D29" s="56"/>
      <c r="E29" s="56"/>
      <c r="F29" s="185"/>
      <c r="G29" s="174"/>
      <c r="H29" s="191" t="s">
        <v>34</v>
      </c>
      <c r="I29" s="192">
        <f t="shared" ref="I29:J29" si="8">SUM(I25:I28)</f>
        <v>830</v>
      </c>
      <c r="J29" s="192">
        <f t="shared" si="8"/>
        <v>840</v>
      </c>
      <c r="K29" s="192">
        <f t="shared" si="6"/>
        <v>-10</v>
      </c>
      <c r="L29" s="202"/>
      <c r="M29" s="181">
        <v>54.0</v>
      </c>
      <c r="N29" s="182" t="s">
        <v>43</v>
      </c>
      <c r="O29" s="183">
        <v>0.0</v>
      </c>
      <c r="P29" s="183">
        <f>SUMIF(E$10:E$144,"54",D$10:D$144)</f>
        <v>0</v>
      </c>
      <c r="Q29" s="183">
        <f t="shared" si="7"/>
        <v>0</v>
      </c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6"/>
      <c r="B30" s="139">
        <v>46012.0</v>
      </c>
      <c r="C30" s="56"/>
      <c r="D30" s="56"/>
      <c r="E30" s="56"/>
      <c r="F30" s="185"/>
      <c r="G30" s="174"/>
      <c r="H30" s="180"/>
      <c r="I30" s="193"/>
      <c r="J30" s="193"/>
      <c r="K30" s="193"/>
      <c r="L30" s="173"/>
      <c r="M30" s="177">
        <v>55.0</v>
      </c>
      <c r="N30" s="182" t="s">
        <v>44</v>
      </c>
      <c r="O30" s="183">
        <v>140.0</v>
      </c>
      <c r="P30" s="183">
        <f>SUMIF(E$10:E$144,"55",D$10:D$144)</f>
        <v>0</v>
      </c>
      <c r="Q30" s="183">
        <f t="shared" si="7"/>
        <v>140</v>
      </c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6"/>
      <c r="B31" s="139">
        <v>46013.0</v>
      </c>
      <c r="C31" s="56"/>
      <c r="D31" s="56"/>
      <c r="E31" s="56"/>
      <c r="F31" s="185"/>
      <c r="G31" s="174"/>
      <c r="H31" s="195" t="s">
        <v>45</v>
      </c>
      <c r="I31" s="213" t="s">
        <v>1</v>
      </c>
      <c r="J31" s="213" t="s">
        <v>2</v>
      </c>
      <c r="K31" s="213" t="s">
        <v>3</v>
      </c>
      <c r="L31" s="193"/>
      <c r="M31" s="177">
        <v>56.0</v>
      </c>
      <c r="N31" s="182" t="s">
        <v>46</v>
      </c>
      <c r="O31" s="183">
        <v>0.0</v>
      </c>
      <c r="P31" s="183">
        <f>SUMIF(E$10:E$144,"56",D$10:D$144)</f>
        <v>0</v>
      </c>
      <c r="Q31" s="183">
        <f t="shared" si="7"/>
        <v>0</v>
      </c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6"/>
      <c r="B32" s="139">
        <v>46014.0</v>
      </c>
      <c r="C32" s="56"/>
      <c r="D32" s="56"/>
      <c r="E32" s="56"/>
      <c r="F32" s="185"/>
      <c r="G32" s="177">
        <v>15.0</v>
      </c>
      <c r="H32" s="182" t="s">
        <v>47</v>
      </c>
      <c r="I32" s="179">
        <v>45.0</v>
      </c>
      <c r="J32" s="179">
        <v>45.0</v>
      </c>
      <c r="K32" s="179">
        <f t="shared" ref="K32:K38" si="9">+I32-J32</f>
        <v>0</v>
      </c>
      <c r="L32" s="193"/>
      <c r="M32" s="177">
        <v>57.0</v>
      </c>
      <c r="N32" s="182" t="s">
        <v>48</v>
      </c>
      <c r="O32" s="183">
        <v>0.0</v>
      </c>
      <c r="P32" s="183">
        <f>SUMIF(E$10:E$144,"57",D$10:D$144)</f>
        <v>0</v>
      </c>
      <c r="Q32" s="183">
        <f t="shared" si="7"/>
        <v>0</v>
      </c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6"/>
      <c r="B33" s="139">
        <v>46015.0</v>
      </c>
      <c r="C33" s="56"/>
      <c r="D33" s="56"/>
      <c r="E33" s="56"/>
      <c r="F33" s="185"/>
      <c r="G33" s="177">
        <v>16.0</v>
      </c>
      <c r="H33" s="182" t="s">
        <v>49</v>
      </c>
      <c r="I33" s="183">
        <v>89.0</v>
      </c>
      <c r="J33" s="183">
        <v>89.0</v>
      </c>
      <c r="K33" s="183">
        <f t="shared" si="9"/>
        <v>0</v>
      </c>
      <c r="L33" s="193"/>
      <c r="M33" s="177">
        <v>58.0</v>
      </c>
      <c r="N33" s="182" t="s">
        <v>50</v>
      </c>
      <c r="O33" s="183">
        <v>0.0</v>
      </c>
      <c r="P33" s="183">
        <f>SUMIF(E$10:E$144,"58",D$10:D$144)</f>
        <v>0</v>
      </c>
      <c r="Q33" s="183">
        <f t="shared" si="7"/>
        <v>0</v>
      </c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6"/>
      <c r="B34" s="139">
        <v>46016.0</v>
      </c>
      <c r="C34" s="56"/>
      <c r="D34" s="56"/>
      <c r="E34" s="56"/>
      <c r="F34" s="185"/>
      <c r="G34" s="177">
        <v>17.0</v>
      </c>
      <c r="H34" s="182" t="s">
        <v>51</v>
      </c>
      <c r="I34" s="183">
        <v>24.0</v>
      </c>
      <c r="J34" s="183">
        <v>24.0</v>
      </c>
      <c r="K34" s="183">
        <f t="shared" si="9"/>
        <v>0</v>
      </c>
      <c r="L34" s="193"/>
      <c r="M34" s="174"/>
      <c r="N34" s="196" t="s">
        <v>34</v>
      </c>
      <c r="O34" s="192">
        <f t="shared" ref="O34:P34" si="10">SUM(O27:O33)</f>
        <v>140</v>
      </c>
      <c r="P34" s="192">
        <f t="shared" si="10"/>
        <v>0</v>
      </c>
      <c r="Q34" s="192">
        <f t="shared" si="7"/>
        <v>140</v>
      </c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6"/>
      <c r="B35" s="139">
        <v>46017.0</v>
      </c>
      <c r="C35" s="56"/>
      <c r="D35" s="56"/>
      <c r="E35" s="56"/>
      <c r="F35" s="185"/>
      <c r="G35" s="177">
        <v>18.0</v>
      </c>
      <c r="H35" s="185" t="s">
        <v>52</v>
      </c>
      <c r="I35" s="183">
        <v>21.9</v>
      </c>
      <c r="J35" s="183">
        <v>22.0</v>
      </c>
      <c r="K35" s="183">
        <f t="shared" si="9"/>
        <v>-0.1</v>
      </c>
      <c r="L35" s="193"/>
      <c r="M35" s="203"/>
      <c r="N35" s="174"/>
      <c r="O35" s="174"/>
      <c r="P35" s="174"/>
      <c r="Q35" s="174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6"/>
      <c r="B36" s="139">
        <v>46018.0</v>
      </c>
      <c r="C36" s="56"/>
      <c r="D36" s="56"/>
      <c r="E36" s="56"/>
      <c r="F36" s="185"/>
      <c r="G36" s="177">
        <v>19.0</v>
      </c>
      <c r="H36" s="182" t="s">
        <v>53</v>
      </c>
      <c r="I36" s="183">
        <v>10.9</v>
      </c>
      <c r="J36" s="183">
        <v>11.0</v>
      </c>
      <c r="K36" s="183">
        <f t="shared" si="9"/>
        <v>-0.1</v>
      </c>
      <c r="L36" s="193"/>
      <c r="M36" s="174"/>
      <c r="N36" s="175" t="s">
        <v>54</v>
      </c>
      <c r="O36" s="176" t="s">
        <v>1</v>
      </c>
      <c r="P36" s="172" t="s">
        <v>2</v>
      </c>
      <c r="Q36" s="172" t="s">
        <v>3</v>
      </c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6"/>
      <c r="B37" s="139">
        <v>46019.0</v>
      </c>
      <c r="C37" s="56"/>
      <c r="D37" s="56"/>
      <c r="E37" s="56"/>
      <c r="F37" s="185"/>
      <c r="G37" s="177">
        <v>20.0</v>
      </c>
      <c r="H37" s="182" t="s">
        <v>55</v>
      </c>
      <c r="I37" s="183">
        <v>34.5</v>
      </c>
      <c r="J37" s="183">
        <v>45.0</v>
      </c>
      <c r="K37" s="183">
        <f t="shared" si="9"/>
        <v>-10.5</v>
      </c>
      <c r="L37" s="193"/>
      <c r="M37" s="181">
        <v>60.0</v>
      </c>
      <c r="N37" s="178" t="s">
        <v>56</v>
      </c>
      <c r="O37" s="179">
        <v>450.0</v>
      </c>
      <c r="P37" s="179">
        <f>SUMIF(E$10:E$144,"60",D$10:D$144)</f>
        <v>0</v>
      </c>
      <c r="Q37" s="179">
        <f t="shared" ref="Q37:Q42" si="12">+O37-P37</f>
        <v>450</v>
      </c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6"/>
      <c r="B38" s="139">
        <v>46020.0</v>
      </c>
      <c r="C38" s="56"/>
      <c r="D38" s="56"/>
      <c r="E38" s="56"/>
      <c r="F38" s="185"/>
      <c r="G38" s="174"/>
      <c r="H38" s="191" t="s">
        <v>34</v>
      </c>
      <c r="I38" s="192">
        <f t="shared" ref="I38:J38" si="11">SUM(I32:I37)</f>
        <v>225.3</v>
      </c>
      <c r="J38" s="192">
        <f t="shared" si="11"/>
        <v>236</v>
      </c>
      <c r="K38" s="192">
        <f t="shared" si="9"/>
        <v>-10.7</v>
      </c>
      <c r="L38" s="193"/>
      <c r="M38" s="177">
        <v>61.0</v>
      </c>
      <c r="N38" s="182" t="s">
        <v>57</v>
      </c>
      <c r="O38" s="183">
        <v>0.0</v>
      </c>
      <c r="P38" s="183">
        <f>SUMIF(E$10:E$144,"61",D$10:D$144)</f>
        <v>0</v>
      </c>
      <c r="Q38" s="183">
        <f t="shared" si="12"/>
        <v>0</v>
      </c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6"/>
      <c r="B39" s="139">
        <v>46021.0</v>
      </c>
      <c r="C39" s="56"/>
      <c r="D39" s="56"/>
      <c r="E39" s="56"/>
      <c r="F39" s="185"/>
      <c r="G39" s="174"/>
      <c r="H39" s="174"/>
      <c r="I39" s="174"/>
      <c r="J39" s="174"/>
      <c r="K39" s="174"/>
      <c r="L39" s="193"/>
      <c r="M39" s="177">
        <v>62.0</v>
      </c>
      <c r="N39" s="182" t="s">
        <v>58</v>
      </c>
      <c r="O39" s="183">
        <v>120.0</v>
      </c>
      <c r="P39" s="183">
        <f>SUMIF(E$10:E$144,"62",D$10:D$144)</f>
        <v>0</v>
      </c>
      <c r="Q39" s="183">
        <f t="shared" si="12"/>
        <v>120</v>
      </c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6"/>
      <c r="B40" s="139">
        <v>46022.0</v>
      </c>
      <c r="C40" s="56"/>
      <c r="D40" s="56"/>
      <c r="E40" s="56"/>
      <c r="F40" s="185"/>
      <c r="G40" s="174"/>
      <c r="H40" s="195" t="s">
        <v>59</v>
      </c>
      <c r="I40" s="213" t="s">
        <v>1</v>
      </c>
      <c r="J40" s="213" t="s">
        <v>2</v>
      </c>
      <c r="K40" s="213" t="s">
        <v>3</v>
      </c>
      <c r="L40" s="193"/>
      <c r="M40" s="177">
        <v>63.0</v>
      </c>
      <c r="N40" s="182" t="s">
        <v>60</v>
      </c>
      <c r="O40" s="183">
        <v>148.0</v>
      </c>
      <c r="P40" s="183">
        <f>SUMIF(E$10:E$144,"63",D$10:D$144)</f>
        <v>0</v>
      </c>
      <c r="Q40" s="183">
        <f t="shared" si="12"/>
        <v>148</v>
      </c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6"/>
      <c r="B41" s="115"/>
      <c r="C41" s="56"/>
      <c r="D41" s="56"/>
      <c r="E41" s="56"/>
      <c r="F41" s="185"/>
      <c r="G41" s="177">
        <v>21.0</v>
      </c>
      <c r="H41" s="182" t="s">
        <v>61</v>
      </c>
      <c r="I41" s="179">
        <v>120.0</v>
      </c>
      <c r="J41" s="179">
        <f>SUMIF(E$10:E$144,"21",D$10:D$144)</f>
        <v>0</v>
      </c>
      <c r="K41" s="179">
        <f t="shared" ref="K41:K51" si="13">+I41-J41</f>
        <v>120</v>
      </c>
      <c r="L41" s="204"/>
      <c r="M41" s="177">
        <v>64.0</v>
      </c>
      <c r="N41" s="182" t="s">
        <v>62</v>
      </c>
      <c r="O41" s="183">
        <v>60.0</v>
      </c>
      <c r="P41" s="183">
        <f>SUMIF(E$10:E$144,"64",D$10:D$144)</f>
        <v>0</v>
      </c>
      <c r="Q41" s="183">
        <f t="shared" si="12"/>
        <v>60</v>
      </c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6"/>
      <c r="B42" s="115"/>
      <c r="C42" s="56"/>
      <c r="D42" s="56"/>
      <c r="E42" s="56"/>
      <c r="F42" s="185"/>
      <c r="G42" s="177">
        <v>22.0</v>
      </c>
      <c r="H42" s="182" t="s">
        <v>63</v>
      </c>
      <c r="I42" s="183">
        <v>120.0</v>
      </c>
      <c r="J42" s="183">
        <f>SUMIF(E$10:E$144,"22",D$10:D$144)</f>
        <v>0</v>
      </c>
      <c r="K42" s="183">
        <f t="shared" si="13"/>
        <v>120</v>
      </c>
      <c r="L42" s="174"/>
      <c r="M42" s="174"/>
      <c r="N42" s="191" t="s">
        <v>34</v>
      </c>
      <c r="O42" s="192">
        <f t="shared" ref="O42:P42" si="14">SUM(O37:O41)</f>
        <v>778</v>
      </c>
      <c r="P42" s="192">
        <f t="shared" si="14"/>
        <v>0</v>
      </c>
      <c r="Q42" s="192">
        <f t="shared" si="12"/>
        <v>778</v>
      </c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6"/>
      <c r="B43" s="115"/>
      <c r="C43" s="56"/>
      <c r="D43" s="56"/>
      <c r="E43" s="56"/>
      <c r="F43" s="185"/>
      <c r="G43" s="177">
        <v>23.0</v>
      </c>
      <c r="H43" s="182" t="s">
        <v>64</v>
      </c>
      <c r="I43" s="183">
        <v>100.0</v>
      </c>
      <c r="J43" s="183">
        <f>SUMIF(E$10:E$144,"23",D$10:D$144)</f>
        <v>0</v>
      </c>
      <c r="K43" s="183">
        <f t="shared" si="13"/>
        <v>100</v>
      </c>
      <c r="L43" s="174"/>
      <c r="M43" s="174"/>
      <c r="N43" s="174"/>
      <c r="O43" s="174"/>
      <c r="P43" s="174"/>
      <c r="Q43" s="174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6"/>
      <c r="B44" s="115"/>
      <c r="C44" s="56"/>
      <c r="D44" s="56"/>
      <c r="E44" s="56"/>
      <c r="F44" s="185"/>
      <c r="G44" s="177">
        <v>24.0</v>
      </c>
      <c r="H44" s="182" t="s">
        <v>65</v>
      </c>
      <c r="I44" s="183">
        <v>100.0</v>
      </c>
      <c r="J44" s="183">
        <f>SUMIF(E$10:E$144,"24",D$10:D$144)</f>
        <v>0</v>
      </c>
      <c r="K44" s="183">
        <f t="shared" si="13"/>
        <v>100</v>
      </c>
      <c r="L44" s="174"/>
      <c r="M44" s="174"/>
      <c r="N44" s="195" t="s">
        <v>66</v>
      </c>
      <c r="O44" s="172" t="s">
        <v>1</v>
      </c>
      <c r="P44" s="172" t="s">
        <v>2</v>
      </c>
      <c r="Q44" s="172" t="s">
        <v>3</v>
      </c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6"/>
      <c r="B45" s="115"/>
      <c r="C45" s="56"/>
      <c r="D45" s="56"/>
      <c r="E45" s="56"/>
      <c r="F45" s="185"/>
      <c r="G45" s="177">
        <v>25.0</v>
      </c>
      <c r="H45" s="182" t="s">
        <v>67</v>
      </c>
      <c r="I45" s="183">
        <v>150.0</v>
      </c>
      <c r="J45" s="183">
        <f>SUMIF(E$10:E$144,"25",D$10:D$144)</f>
        <v>0</v>
      </c>
      <c r="K45" s="183">
        <f t="shared" si="13"/>
        <v>150</v>
      </c>
      <c r="L45" s="174"/>
      <c r="M45" s="177">
        <v>70.0</v>
      </c>
      <c r="N45" s="182" t="s">
        <v>68</v>
      </c>
      <c r="O45" s="183">
        <v>0.0</v>
      </c>
      <c r="P45" s="183">
        <f>SUMIF(E$10:E$144,"70",D$10:D$144)</f>
        <v>0</v>
      </c>
      <c r="Q45" s="183">
        <f t="shared" ref="Q45:Q52" si="15">+O45-P45</f>
        <v>0</v>
      </c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6"/>
      <c r="B46" s="115"/>
      <c r="C46" s="56"/>
      <c r="D46" s="56"/>
      <c r="E46" s="56"/>
      <c r="F46" s="185"/>
      <c r="G46" s="177">
        <v>26.0</v>
      </c>
      <c r="H46" s="182" t="s">
        <v>69</v>
      </c>
      <c r="I46" s="183">
        <v>0.0</v>
      </c>
      <c r="J46" s="183">
        <f>SUMIF(E$10:E$144,"26",D$10:D$144)</f>
        <v>0</v>
      </c>
      <c r="K46" s="183">
        <f t="shared" si="13"/>
        <v>0</v>
      </c>
      <c r="L46" s="174"/>
      <c r="M46" s="177">
        <v>71.0</v>
      </c>
      <c r="N46" s="182" t="s">
        <v>70</v>
      </c>
      <c r="O46" s="183">
        <v>0.0</v>
      </c>
      <c r="P46" s="183">
        <f>SUMIF(E$10:E$144,"71",D$10:D$144)</f>
        <v>0</v>
      </c>
      <c r="Q46" s="183">
        <f t="shared" si="15"/>
        <v>0</v>
      </c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6"/>
      <c r="B47" s="115"/>
      <c r="C47" s="56"/>
      <c r="D47" s="56"/>
      <c r="E47" s="56"/>
      <c r="F47" s="185"/>
      <c r="G47" s="177">
        <v>27.0</v>
      </c>
      <c r="H47" s="182" t="s">
        <v>71</v>
      </c>
      <c r="I47" s="183">
        <v>89.0</v>
      </c>
      <c r="J47" s="183">
        <f>SUMIF(E$10:E$144,"27",D$10:D$144)</f>
        <v>0</v>
      </c>
      <c r="K47" s="183">
        <f t="shared" si="13"/>
        <v>89</v>
      </c>
      <c r="L47" s="174"/>
      <c r="M47" s="177">
        <v>72.0</v>
      </c>
      <c r="N47" s="182" t="s">
        <v>72</v>
      </c>
      <c r="O47" s="183">
        <v>0.0</v>
      </c>
      <c r="P47" s="183">
        <f>SUMIF(E$10:E$144,"72",D$10:D$144)</f>
        <v>0</v>
      </c>
      <c r="Q47" s="183">
        <f t="shared" si="15"/>
        <v>0</v>
      </c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6"/>
      <c r="B48" s="115"/>
      <c r="C48" s="56"/>
      <c r="D48" s="56"/>
      <c r="E48" s="56"/>
      <c r="F48" s="185"/>
      <c r="G48" s="177">
        <v>28.0</v>
      </c>
      <c r="H48" s="182" t="s">
        <v>73</v>
      </c>
      <c r="I48" s="183">
        <v>0.0</v>
      </c>
      <c r="J48" s="183">
        <f>SUMIF(E$10:E$144,"28",D$10:D$144)</f>
        <v>0</v>
      </c>
      <c r="K48" s="183">
        <f t="shared" si="13"/>
        <v>0</v>
      </c>
      <c r="L48" s="174"/>
      <c r="M48" s="177">
        <v>73.0</v>
      </c>
      <c r="N48" s="182" t="s">
        <v>74</v>
      </c>
      <c r="O48" s="183">
        <v>0.0</v>
      </c>
      <c r="P48" s="183">
        <f>SUMIF(E$10:E$144,"73",D$10:D$144)</f>
        <v>0</v>
      </c>
      <c r="Q48" s="183">
        <f t="shared" si="15"/>
        <v>0</v>
      </c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6"/>
      <c r="B49" s="115"/>
      <c r="C49" s="56"/>
      <c r="D49" s="56"/>
      <c r="E49" s="56"/>
      <c r="F49" s="185"/>
      <c r="G49" s="177">
        <v>29.0</v>
      </c>
      <c r="H49" s="182" t="s">
        <v>75</v>
      </c>
      <c r="I49" s="183">
        <v>0.0</v>
      </c>
      <c r="J49" s="183">
        <f>SUMIF(E$10:E$144,"29",D$10:D$144)</f>
        <v>0</v>
      </c>
      <c r="K49" s="183">
        <f t="shared" si="13"/>
        <v>0</v>
      </c>
      <c r="L49" s="174"/>
      <c r="M49" s="177">
        <v>74.0</v>
      </c>
      <c r="N49" s="182" t="s">
        <v>76</v>
      </c>
      <c r="O49" s="183">
        <v>0.0</v>
      </c>
      <c r="P49" s="183">
        <f>SUMIF(E$10:E$144,"74",D$10:D$144)</f>
        <v>0</v>
      </c>
      <c r="Q49" s="183">
        <f t="shared" si="15"/>
        <v>0</v>
      </c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6"/>
      <c r="B50" s="115"/>
      <c r="C50" s="56"/>
      <c r="D50" s="56"/>
      <c r="E50" s="56"/>
      <c r="F50" s="185"/>
      <c r="G50" s="177">
        <v>30.0</v>
      </c>
      <c r="H50" s="182" t="s">
        <v>77</v>
      </c>
      <c r="I50" s="183">
        <v>0.0</v>
      </c>
      <c r="J50" s="183">
        <f>SUMIF(E$10:E$144,"30",D$10:D$144)</f>
        <v>0</v>
      </c>
      <c r="K50" s="183">
        <f t="shared" si="13"/>
        <v>0</v>
      </c>
      <c r="L50" s="174"/>
      <c r="M50" s="177">
        <v>75.0</v>
      </c>
      <c r="N50" s="182" t="s">
        <v>78</v>
      </c>
      <c r="O50" s="183">
        <v>0.0</v>
      </c>
      <c r="P50" s="183">
        <f>SUMIF(E$10:E$144,"75",D$10:D$144)</f>
        <v>0</v>
      </c>
      <c r="Q50" s="183">
        <f t="shared" si="15"/>
        <v>0</v>
      </c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6"/>
      <c r="B51" s="115"/>
      <c r="C51" s="56"/>
      <c r="D51" s="56"/>
      <c r="E51" s="56"/>
      <c r="F51" s="185"/>
      <c r="G51" s="174"/>
      <c r="H51" s="191" t="s">
        <v>34</v>
      </c>
      <c r="I51" s="192">
        <f t="shared" ref="I51:J51" si="16">SUM(I41:I50)</f>
        <v>679</v>
      </c>
      <c r="J51" s="192">
        <f t="shared" si="16"/>
        <v>0</v>
      </c>
      <c r="K51" s="192">
        <f t="shared" si="13"/>
        <v>679</v>
      </c>
      <c r="L51" s="174"/>
      <c r="M51" s="177">
        <v>76.0</v>
      </c>
      <c r="N51" s="182" t="s">
        <v>79</v>
      </c>
      <c r="O51" s="183">
        <v>0.0</v>
      </c>
      <c r="P51" s="183">
        <f>SUMIF(E$10:E$144,"76",D$10:D$144)</f>
        <v>0</v>
      </c>
      <c r="Q51" s="183">
        <f t="shared" si="15"/>
        <v>0</v>
      </c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6"/>
      <c r="B52" s="115"/>
      <c r="C52" s="56"/>
      <c r="D52" s="56"/>
      <c r="E52" s="56"/>
      <c r="F52" s="185"/>
      <c r="G52" s="174"/>
      <c r="H52" s="174"/>
      <c r="I52" s="174"/>
      <c r="J52" s="174"/>
      <c r="K52" s="174"/>
      <c r="L52" s="174"/>
      <c r="M52" s="174"/>
      <c r="N52" s="191" t="s">
        <v>34</v>
      </c>
      <c r="O52" s="192">
        <f t="shared" ref="O52:P52" si="17">SUM(O45:O51)</f>
        <v>0</v>
      </c>
      <c r="P52" s="192">
        <f t="shared" si="17"/>
        <v>0</v>
      </c>
      <c r="Q52" s="192">
        <f t="shared" si="15"/>
        <v>0</v>
      </c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6"/>
      <c r="B53" s="115"/>
      <c r="C53" s="56"/>
      <c r="D53" s="56"/>
      <c r="E53" s="56"/>
      <c r="F53" s="185"/>
      <c r="G53" s="174"/>
      <c r="H53" s="195" t="s">
        <v>80</v>
      </c>
      <c r="I53" s="213" t="s">
        <v>1</v>
      </c>
      <c r="J53" s="213" t="s">
        <v>2</v>
      </c>
      <c r="K53" s="213" t="s">
        <v>3</v>
      </c>
      <c r="L53" s="174"/>
      <c r="M53" s="174"/>
      <c r="N53" s="174"/>
      <c r="O53" s="174"/>
      <c r="P53" s="174"/>
      <c r="Q53" s="174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6"/>
      <c r="B54" s="115"/>
      <c r="C54" s="56"/>
      <c r="D54" s="56"/>
      <c r="E54" s="56"/>
      <c r="F54" s="185"/>
      <c r="G54" s="177">
        <v>31.0</v>
      </c>
      <c r="H54" s="182" t="s">
        <v>81</v>
      </c>
      <c r="I54" s="183">
        <v>39.0</v>
      </c>
      <c r="J54" s="183">
        <f>SUMIF(E$10:E$144,"31",D$10:D$144)</f>
        <v>0</v>
      </c>
      <c r="K54" s="183">
        <f t="shared" ref="K54:K57" si="18">+I54-J54</f>
        <v>39</v>
      </c>
      <c r="L54" s="174"/>
      <c r="M54" s="174"/>
      <c r="N54" s="195" t="s">
        <v>105</v>
      </c>
      <c r="O54" s="172" t="s">
        <v>1</v>
      </c>
      <c r="P54" s="172" t="s">
        <v>2</v>
      </c>
      <c r="Q54" s="172" t="s">
        <v>3</v>
      </c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6"/>
      <c r="B55" s="115"/>
      <c r="C55" s="56"/>
      <c r="D55" s="56"/>
      <c r="E55" s="56"/>
      <c r="F55" s="185"/>
      <c r="G55" s="177">
        <v>32.0</v>
      </c>
      <c r="H55" s="182" t="s">
        <v>83</v>
      </c>
      <c r="I55" s="183">
        <v>0.0</v>
      </c>
      <c r="J55" s="183">
        <f>SUMIF(E$10:E$144,"32",D$10:D$144)</f>
        <v>0</v>
      </c>
      <c r="K55" s="183">
        <f t="shared" si="18"/>
        <v>0</v>
      </c>
      <c r="L55" s="174"/>
      <c r="M55" s="177">
        <v>80.0</v>
      </c>
      <c r="N55" s="182" t="s">
        <v>106</v>
      </c>
      <c r="O55" s="179">
        <v>89.0</v>
      </c>
      <c r="P55" s="179">
        <f>SUMIF(E$10:E$144,"80",D$10:D$144)</f>
        <v>0</v>
      </c>
      <c r="Q55" s="179">
        <f t="shared" ref="Q55:Q59" si="19">+O55-P55</f>
        <v>89</v>
      </c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6"/>
      <c r="B56" s="115"/>
      <c r="C56" s="56"/>
      <c r="D56" s="56"/>
      <c r="E56" s="56"/>
      <c r="F56" s="185"/>
      <c r="G56" s="177">
        <v>33.0</v>
      </c>
      <c r="H56" s="182" t="s">
        <v>85</v>
      </c>
      <c r="I56" s="183">
        <v>0.0</v>
      </c>
      <c r="J56" s="183">
        <f>SUMIF(E$10:E$144,"33",D$10:D$144)</f>
        <v>0</v>
      </c>
      <c r="K56" s="183">
        <f t="shared" si="18"/>
        <v>0</v>
      </c>
      <c r="L56" s="174"/>
      <c r="M56" s="177">
        <v>81.0</v>
      </c>
      <c r="N56" s="182" t="s">
        <v>107</v>
      </c>
      <c r="O56" s="183">
        <v>0.0</v>
      </c>
      <c r="P56" s="183">
        <f>SUMIF(E$10:E$144,"81",D$10:D$144)</f>
        <v>0</v>
      </c>
      <c r="Q56" s="183">
        <f t="shared" si="19"/>
        <v>0</v>
      </c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6"/>
      <c r="B57" s="115"/>
      <c r="C57" s="56"/>
      <c r="D57" s="56"/>
      <c r="E57" s="56"/>
      <c r="F57" s="185"/>
      <c r="G57" s="174"/>
      <c r="H57" s="191" t="s">
        <v>34</v>
      </c>
      <c r="I57" s="192">
        <f t="shared" ref="I57:J57" si="20">SUM(I54:I56)</f>
        <v>39</v>
      </c>
      <c r="J57" s="192">
        <f t="shared" si="20"/>
        <v>0</v>
      </c>
      <c r="K57" s="192">
        <f t="shared" si="18"/>
        <v>39</v>
      </c>
      <c r="L57" s="174"/>
      <c r="M57" s="177">
        <v>82.0</v>
      </c>
      <c r="N57" s="182" t="s">
        <v>108</v>
      </c>
      <c r="O57" s="183">
        <v>140.0</v>
      </c>
      <c r="P57" s="183">
        <f>SUMIF(E$10:E$144,"82",D$10:D$144)</f>
        <v>0</v>
      </c>
      <c r="Q57" s="183">
        <f t="shared" si="19"/>
        <v>140</v>
      </c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6"/>
      <c r="B58" s="115"/>
      <c r="C58" s="56"/>
      <c r="D58" s="56"/>
      <c r="E58" s="56"/>
      <c r="F58" s="7"/>
      <c r="G58" s="174"/>
      <c r="H58" s="174"/>
      <c r="I58" s="174"/>
      <c r="J58" s="174"/>
      <c r="K58" s="174"/>
      <c r="L58" s="174"/>
      <c r="M58" s="177">
        <v>83.0</v>
      </c>
      <c r="N58" s="182" t="s">
        <v>109</v>
      </c>
      <c r="O58" s="183">
        <v>0.0</v>
      </c>
      <c r="P58" s="183">
        <f>SUMIF(E$10:E$144,"83",D$10:D$144)</f>
        <v>0</v>
      </c>
      <c r="Q58" s="183">
        <f t="shared" si="19"/>
        <v>0</v>
      </c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6"/>
      <c r="B59" s="115"/>
      <c r="C59" s="56"/>
      <c r="D59" s="56"/>
      <c r="E59" s="56"/>
      <c r="F59" s="7"/>
      <c r="G59" s="174"/>
      <c r="H59" s="195" t="s">
        <v>110</v>
      </c>
      <c r="I59" s="172" t="s">
        <v>1</v>
      </c>
      <c r="J59" s="172" t="s">
        <v>90</v>
      </c>
      <c r="K59" s="172" t="s">
        <v>91</v>
      </c>
      <c r="L59" s="174"/>
      <c r="M59" s="174"/>
      <c r="N59" s="191" t="s">
        <v>34</v>
      </c>
      <c r="O59" s="192">
        <f t="shared" ref="O59:P59" si="21">SUM(O55:O58)</f>
        <v>229</v>
      </c>
      <c r="P59" s="192">
        <f t="shared" si="21"/>
        <v>0</v>
      </c>
      <c r="Q59" s="192">
        <f t="shared" si="19"/>
        <v>229</v>
      </c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6"/>
      <c r="B60" s="115"/>
      <c r="C60" s="56"/>
      <c r="D60" s="56"/>
      <c r="E60" s="56"/>
      <c r="F60" s="7"/>
      <c r="G60" s="177">
        <v>34.0</v>
      </c>
      <c r="H60" s="182" t="s">
        <v>93</v>
      </c>
      <c r="I60" s="179">
        <v>1200.0</v>
      </c>
      <c r="J60" s="179">
        <f>SUMIF(E$10:E$144,"34",D$10:D$144)</f>
        <v>0</v>
      </c>
      <c r="K60" s="179">
        <f>+I60-O620</f>
        <v>1200</v>
      </c>
      <c r="L60" s="174"/>
      <c r="M60" s="174"/>
      <c r="N60" s="174"/>
      <c r="O60" s="174"/>
      <c r="P60" s="174"/>
      <c r="Q60" s="174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6"/>
      <c r="B61" s="115"/>
      <c r="C61" s="56"/>
      <c r="D61" s="56"/>
      <c r="E61" s="56"/>
      <c r="F61" s="7"/>
      <c r="G61" s="177">
        <v>35.0</v>
      </c>
      <c r="H61" s="182" t="s">
        <v>94</v>
      </c>
      <c r="I61" s="183">
        <v>1200.0</v>
      </c>
      <c r="J61" s="183">
        <f>SUMIF(E$10:E$144,"35",D$10:D$144)</f>
        <v>0</v>
      </c>
      <c r="K61" s="183">
        <f t="shared" ref="K61:K64" si="22">+I61-J61</f>
        <v>1200</v>
      </c>
      <c r="L61" s="174"/>
      <c r="M61" s="174"/>
      <c r="N61" s="195" t="s">
        <v>111</v>
      </c>
      <c r="O61" s="172" t="s">
        <v>1</v>
      </c>
      <c r="P61" s="172" t="s">
        <v>2</v>
      </c>
      <c r="Q61" s="172" t="s">
        <v>3</v>
      </c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6"/>
      <c r="B62" s="115"/>
      <c r="C62" s="56"/>
      <c r="D62" s="56"/>
      <c r="E62" s="56"/>
      <c r="F62" s="7"/>
      <c r="G62" s="177">
        <v>36.0</v>
      </c>
      <c r="H62" s="182" t="s">
        <v>96</v>
      </c>
      <c r="I62" s="183">
        <v>1200.0</v>
      </c>
      <c r="J62" s="183">
        <f>SUMIF(E$10:E$144,"36",D$10:D$144)</f>
        <v>0</v>
      </c>
      <c r="K62" s="183">
        <f t="shared" si="22"/>
        <v>1200</v>
      </c>
      <c r="L62" s="174"/>
      <c r="M62" s="177">
        <v>90.0</v>
      </c>
      <c r="N62" s="182" t="s">
        <v>97</v>
      </c>
      <c r="O62" s="183">
        <v>0.0</v>
      </c>
      <c r="P62" s="183">
        <f>SUMIF(E$10:E$144,"90",D$10:D$144)</f>
        <v>0</v>
      </c>
      <c r="Q62" s="183">
        <f t="shared" ref="Q62:Q65" si="23">+O62-P62</f>
        <v>0</v>
      </c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6"/>
      <c r="B63" s="115"/>
      <c r="C63" s="56"/>
      <c r="D63" s="56"/>
      <c r="E63" s="56"/>
      <c r="F63" s="7"/>
      <c r="G63" s="177">
        <v>37.0</v>
      </c>
      <c r="H63" s="182" t="s">
        <v>100</v>
      </c>
      <c r="I63" s="183">
        <v>1200.0</v>
      </c>
      <c r="J63" s="183">
        <f>SUMIF(E$10:E$144,"37",D$10:D$144)</f>
        <v>0</v>
      </c>
      <c r="K63" s="183">
        <f t="shared" si="22"/>
        <v>1200</v>
      </c>
      <c r="L63" s="174"/>
      <c r="M63" s="177">
        <v>91.0</v>
      </c>
      <c r="N63" s="182" t="s">
        <v>101</v>
      </c>
      <c r="O63" s="183">
        <v>0.0</v>
      </c>
      <c r="P63" s="183">
        <f>SUMIF(E$10:E$144,"91",D$10:D$144)</f>
        <v>0</v>
      </c>
      <c r="Q63" s="183">
        <f t="shared" si="23"/>
        <v>0</v>
      </c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6"/>
      <c r="B64" s="115"/>
      <c r="C64" s="56"/>
      <c r="D64" s="56"/>
      <c r="E64" s="56"/>
      <c r="F64" s="7"/>
      <c r="G64" s="174"/>
      <c r="H64" s="191" t="s">
        <v>34</v>
      </c>
      <c r="I64" s="192">
        <f t="shared" ref="I64:J64" si="24">SUM(I60:I63)</f>
        <v>4800</v>
      </c>
      <c r="J64" s="192">
        <f t="shared" si="24"/>
        <v>0</v>
      </c>
      <c r="K64" s="192">
        <f t="shared" si="22"/>
        <v>4800</v>
      </c>
      <c r="L64" s="174"/>
      <c r="M64" s="177">
        <v>92.0</v>
      </c>
      <c r="N64" s="182" t="s">
        <v>102</v>
      </c>
      <c r="O64" s="183">
        <v>0.0</v>
      </c>
      <c r="P64" s="183">
        <f>SUMIF(E$10:E$144,"92",D$10:D$144)</f>
        <v>0</v>
      </c>
      <c r="Q64" s="183">
        <f t="shared" si="23"/>
        <v>0</v>
      </c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6"/>
      <c r="B65" s="115"/>
      <c r="C65" s="56"/>
      <c r="D65" s="56"/>
      <c r="E65" s="56"/>
      <c r="F65" s="7"/>
      <c r="G65" s="174"/>
      <c r="H65" s="174"/>
      <c r="I65" s="174"/>
      <c r="J65" s="174"/>
      <c r="K65" s="174"/>
      <c r="L65" s="174"/>
      <c r="M65" s="174"/>
      <c r="N65" s="191" t="s">
        <v>34</v>
      </c>
      <c r="O65" s="192">
        <f t="shared" ref="O65:P65" si="25">SUM(O62:O64)</f>
        <v>0</v>
      </c>
      <c r="P65" s="192">
        <f t="shared" si="25"/>
        <v>0</v>
      </c>
      <c r="Q65" s="192">
        <f t="shared" si="23"/>
        <v>0</v>
      </c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6"/>
      <c r="B66" s="115"/>
      <c r="C66" s="56"/>
      <c r="D66" s="56"/>
      <c r="E66" s="5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6"/>
      <c r="B67" s="115"/>
      <c r="C67" s="56"/>
      <c r="D67" s="56"/>
      <c r="E67" s="5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6"/>
      <c r="B68" s="115"/>
      <c r="C68" s="56"/>
      <c r="D68" s="56"/>
      <c r="E68" s="5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6"/>
      <c r="B69" s="115"/>
      <c r="C69" s="56"/>
      <c r="D69" s="56"/>
      <c r="E69" s="5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6"/>
      <c r="B70" s="115"/>
      <c r="C70" s="56"/>
      <c r="D70" s="56"/>
      <c r="E70" s="5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6"/>
      <c r="B71" s="115"/>
      <c r="C71" s="56"/>
      <c r="D71" s="56"/>
      <c r="E71" s="5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6"/>
      <c r="B72" s="115"/>
      <c r="C72" s="56"/>
      <c r="D72" s="56"/>
      <c r="E72" s="5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6"/>
      <c r="B73" s="115"/>
      <c r="C73" s="56"/>
      <c r="D73" s="56"/>
      <c r="E73" s="5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6"/>
      <c r="B74" s="115"/>
      <c r="C74" s="56"/>
      <c r="D74" s="56"/>
      <c r="E74" s="5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6"/>
      <c r="B75" s="115"/>
      <c r="C75" s="56"/>
      <c r="D75" s="56"/>
      <c r="E75" s="5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6"/>
      <c r="B76" s="115"/>
      <c r="C76" s="56"/>
      <c r="D76" s="56"/>
      <c r="E76" s="5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6"/>
      <c r="B77" s="115"/>
      <c r="C77" s="56"/>
      <c r="D77" s="56"/>
      <c r="E77" s="5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6"/>
      <c r="B78" s="115"/>
      <c r="C78" s="56"/>
      <c r="D78" s="56"/>
      <c r="E78" s="5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6"/>
      <c r="B79" s="115"/>
      <c r="C79" s="56"/>
      <c r="D79" s="56"/>
      <c r="E79" s="5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6"/>
      <c r="B80" s="115"/>
      <c r="C80" s="56"/>
      <c r="D80" s="56"/>
      <c r="E80" s="5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6"/>
      <c r="B81" s="115"/>
      <c r="C81" s="56"/>
      <c r="D81" s="56"/>
      <c r="E81" s="5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6"/>
      <c r="B82" s="115"/>
      <c r="C82" s="56"/>
      <c r="D82" s="56"/>
      <c r="E82" s="5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6"/>
      <c r="B83" s="115"/>
      <c r="C83" s="56"/>
      <c r="D83" s="56"/>
      <c r="E83" s="5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6"/>
      <c r="B84" s="115"/>
      <c r="C84" s="56"/>
      <c r="D84" s="56"/>
      <c r="E84" s="5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6"/>
      <c r="B85" s="115"/>
      <c r="C85" s="56"/>
      <c r="D85" s="56"/>
      <c r="E85" s="5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6"/>
      <c r="B86" s="115"/>
      <c r="C86" s="56"/>
      <c r="D86" s="56"/>
      <c r="E86" s="5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6"/>
      <c r="B87" s="115"/>
      <c r="C87" s="56"/>
      <c r="D87" s="56"/>
      <c r="E87" s="5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6"/>
      <c r="B88" s="115"/>
      <c r="C88" s="56"/>
      <c r="D88" s="56"/>
      <c r="E88" s="5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6"/>
      <c r="B89" s="115"/>
      <c r="C89" s="56"/>
      <c r="D89" s="56"/>
      <c r="E89" s="5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6"/>
      <c r="B90" s="115"/>
      <c r="C90" s="56"/>
      <c r="D90" s="56"/>
      <c r="E90" s="5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6"/>
      <c r="B91" s="115"/>
      <c r="C91" s="56"/>
      <c r="D91" s="56"/>
      <c r="E91" s="5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6"/>
      <c r="B92" s="115"/>
      <c r="C92" s="56"/>
      <c r="D92" s="56"/>
      <c r="E92" s="5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6"/>
      <c r="B93" s="115"/>
      <c r="C93" s="56"/>
      <c r="D93" s="56"/>
      <c r="E93" s="5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6"/>
      <c r="B94" s="115"/>
      <c r="C94" s="56"/>
      <c r="D94" s="56"/>
      <c r="E94" s="5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6"/>
      <c r="B95" s="115"/>
      <c r="C95" s="56"/>
      <c r="D95" s="56"/>
      <c r="E95" s="5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6"/>
      <c r="B96" s="115"/>
      <c r="C96" s="56"/>
      <c r="D96" s="56"/>
      <c r="E96" s="5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6"/>
      <c r="B97" s="109"/>
      <c r="C97" s="109"/>
      <c r="D97" s="109"/>
      <c r="E97" s="109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6"/>
      <c r="B98" s="109"/>
      <c r="C98" s="109"/>
      <c r="D98" s="109"/>
      <c r="E98" s="109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6"/>
      <c r="B99" s="109"/>
      <c r="C99" s="109"/>
      <c r="D99" s="109"/>
      <c r="E99" s="109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6"/>
      <c r="B100" s="109"/>
      <c r="C100" s="109"/>
      <c r="D100" s="109"/>
      <c r="E100" s="109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6"/>
      <c r="B101" s="109"/>
      <c r="C101" s="109"/>
      <c r="D101" s="109"/>
      <c r="E101" s="10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6"/>
      <c r="B102" s="109"/>
      <c r="C102" s="109"/>
      <c r="D102" s="109"/>
      <c r="E102" s="109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6"/>
      <c r="B103" s="109"/>
      <c r="C103" s="109"/>
      <c r="D103" s="109"/>
      <c r="E103" s="10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6"/>
      <c r="B104" s="109"/>
      <c r="C104" s="109"/>
      <c r="D104" s="109"/>
      <c r="E104" s="109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6"/>
      <c r="B105" s="109"/>
      <c r="C105" s="109"/>
      <c r="D105" s="109"/>
      <c r="E105" s="109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6"/>
      <c r="B106" s="109"/>
      <c r="C106" s="109"/>
      <c r="D106" s="109"/>
      <c r="E106" s="109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6"/>
      <c r="B107" s="109"/>
      <c r="C107" s="109"/>
      <c r="D107" s="109"/>
      <c r="E107" s="109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6"/>
      <c r="B108" s="109"/>
      <c r="C108" s="109"/>
      <c r="D108" s="109"/>
      <c r="E108" s="109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6"/>
      <c r="B109" s="109"/>
      <c r="C109" s="109"/>
      <c r="D109" s="109"/>
      <c r="E109" s="109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6"/>
      <c r="B110" s="109"/>
      <c r="C110" s="109"/>
      <c r="D110" s="109"/>
      <c r="E110" s="10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6"/>
      <c r="B111" s="109"/>
      <c r="C111" s="109"/>
      <c r="D111" s="109"/>
      <c r="E111" s="109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6"/>
      <c r="B112" s="109"/>
      <c r="C112" s="109"/>
      <c r="D112" s="109"/>
      <c r="E112" s="109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6"/>
      <c r="B113" s="109"/>
      <c r="C113" s="109"/>
      <c r="D113" s="109"/>
      <c r="E113" s="109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6"/>
      <c r="B114" s="109"/>
      <c r="C114" s="109"/>
      <c r="D114" s="109"/>
      <c r="E114" s="109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6"/>
      <c r="B115" s="109"/>
      <c r="C115" s="109"/>
      <c r="D115" s="109"/>
      <c r="E115" s="109"/>
      <c r="F115" s="6"/>
      <c r="G115" s="138"/>
      <c r="H115" s="6"/>
      <c r="I115" s="6"/>
      <c r="J115" s="6"/>
      <c r="K115" s="6"/>
      <c r="L115" s="6"/>
      <c r="M115" s="138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6"/>
      <c r="B116" s="109"/>
      <c r="C116" s="109"/>
      <c r="D116" s="109"/>
      <c r="E116" s="109"/>
      <c r="F116" s="6"/>
      <c r="G116" s="138"/>
      <c r="H116" s="6"/>
      <c r="I116" s="6"/>
      <c r="J116" s="6"/>
      <c r="K116" s="6"/>
      <c r="L116" s="6"/>
      <c r="M116" s="138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6"/>
      <c r="B117" s="109"/>
      <c r="C117" s="109"/>
      <c r="D117" s="109"/>
      <c r="E117" s="109"/>
      <c r="F117" s="6"/>
      <c r="G117" s="138"/>
      <c r="H117" s="6"/>
      <c r="I117" s="6"/>
      <c r="J117" s="6"/>
      <c r="K117" s="6"/>
      <c r="L117" s="6"/>
      <c r="M117" s="138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6"/>
      <c r="B118" s="109"/>
      <c r="C118" s="109"/>
      <c r="D118" s="109"/>
      <c r="E118" s="109"/>
      <c r="F118" s="6"/>
      <c r="G118" s="138"/>
      <c r="H118" s="6"/>
      <c r="I118" s="6"/>
      <c r="J118" s="6"/>
      <c r="K118" s="6"/>
      <c r="L118" s="6"/>
      <c r="M118" s="138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6"/>
      <c r="B119" s="109"/>
      <c r="C119" s="109"/>
      <c r="D119" s="109"/>
      <c r="E119" s="109"/>
      <c r="F119" s="6"/>
      <c r="G119" s="138"/>
      <c r="H119" s="6"/>
      <c r="I119" s="6"/>
      <c r="J119" s="6"/>
      <c r="K119" s="6"/>
      <c r="L119" s="6"/>
      <c r="M119" s="138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6"/>
      <c r="B120" s="109"/>
      <c r="C120" s="109"/>
      <c r="D120" s="109"/>
      <c r="E120" s="109"/>
      <c r="F120" s="6"/>
      <c r="G120" s="138"/>
      <c r="H120" s="6"/>
      <c r="I120" s="6"/>
      <c r="J120" s="6"/>
      <c r="K120" s="6"/>
      <c r="L120" s="6"/>
      <c r="M120" s="138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6"/>
      <c r="B121" s="109"/>
      <c r="C121" s="109"/>
      <c r="D121" s="109"/>
      <c r="E121" s="109"/>
      <c r="F121" s="6"/>
      <c r="G121" s="138"/>
      <c r="H121" s="6"/>
      <c r="I121" s="6"/>
      <c r="J121" s="6"/>
      <c r="K121" s="6"/>
      <c r="L121" s="6"/>
      <c r="M121" s="138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6"/>
      <c r="B122" s="109"/>
      <c r="C122" s="109"/>
      <c r="D122" s="109"/>
      <c r="E122" s="109"/>
      <c r="F122" s="6"/>
      <c r="G122" s="138"/>
      <c r="H122" s="6"/>
      <c r="I122" s="6"/>
      <c r="J122" s="6"/>
      <c r="K122" s="6"/>
      <c r="L122" s="6"/>
      <c r="M122" s="138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6"/>
      <c r="B123" s="109"/>
      <c r="C123" s="109"/>
      <c r="D123" s="109"/>
      <c r="E123" s="109"/>
      <c r="F123" s="6"/>
      <c r="G123" s="138"/>
      <c r="H123" s="6"/>
      <c r="I123" s="6"/>
      <c r="J123" s="6"/>
      <c r="K123" s="6"/>
      <c r="L123" s="6"/>
      <c r="M123" s="138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6"/>
      <c r="B124" s="109"/>
      <c r="C124" s="109"/>
      <c r="D124" s="109"/>
      <c r="E124" s="109"/>
      <c r="F124" s="6"/>
      <c r="G124" s="138"/>
      <c r="H124" s="6"/>
      <c r="I124" s="6"/>
      <c r="J124" s="6"/>
      <c r="K124" s="6"/>
      <c r="L124" s="6"/>
      <c r="M124" s="138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6"/>
      <c r="B125" s="109"/>
      <c r="C125" s="109"/>
      <c r="D125" s="109"/>
      <c r="E125" s="109"/>
      <c r="F125" s="6"/>
      <c r="G125" s="138"/>
      <c r="H125" s="6"/>
      <c r="I125" s="6"/>
      <c r="J125" s="6"/>
      <c r="K125" s="6"/>
      <c r="L125" s="6"/>
      <c r="M125" s="138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6"/>
      <c r="B126" s="109"/>
      <c r="C126" s="109"/>
      <c r="D126" s="109"/>
      <c r="E126" s="109"/>
      <c r="F126" s="6"/>
      <c r="G126" s="138"/>
      <c r="H126" s="6"/>
      <c r="I126" s="6"/>
      <c r="J126" s="6"/>
      <c r="K126" s="6"/>
      <c r="L126" s="6"/>
      <c r="M126" s="138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6"/>
      <c r="B127" s="109"/>
      <c r="C127" s="109"/>
      <c r="D127" s="109"/>
      <c r="E127" s="109"/>
      <c r="F127" s="6"/>
      <c r="G127" s="138"/>
      <c r="H127" s="6"/>
      <c r="I127" s="6"/>
      <c r="J127" s="6"/>
      <c r="K127" s="6"/>
      <c r="L127" s="6"/>
      <c r="M127" s="138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6"/>
      <c r="B128" s="6"/>
      <c r="C128" s="6"/>
      <c r="D128" s="6"/>
      <c r="E128" s="6"/>
      <c r="F128" s="6"/>
      <c r="G128" s="138"/>
      <c r="H128" s="6"/>
      <c r="I128" s="6"/>
      <c r="J128" s="6"/>
      <c r="K128" s="6"/>
      <c r="L128" s="6"/>
      <c r="M128" s="138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6"/>
      <c r="B129" s="6"/>
      <c r="C129" s="6"/>
      <c r="D129" s="6"/>
      <c r="E129" s="6"/>
      <c r="F129" s="6"/>
      <c r="G129" s="138"/>
      <c r="H129" s="6"/>
      <c r="I129" s="6"/>
      <c r="J129" s="6"/>
      <c r="K129" s="6"/>
      <c r="L129" s="6"/>
      <c r="M129" s="138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138"/>
      <c r="H130" s="6"/>
      <c r="I130" s="6"/>
      <c r="J130" s="6"/>
      <c r="K130" s="6"/>
      <c r="L130" s="6"/>
      <c r="M130" s="138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138"/>
      <c r="H131" s="6"/>
      <c r="I131" s="6"/>
      <c r="J131" s="6"/>
      <c r="K131" s="6"/>
      <c r="L131" s="6"/>
      <c r="M131" s="138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138"/>
      <c r="H132" s="6"/>
      <c r="I132" s="6"/>
      <c r="J132" s="6"/>
      <c r="K132" s="6"/>
      <c r="L132" s="6"/>
      <c r="M132" s="138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138"/>
      <c r="H133" s="6"/>
      <c r="I133" s="6"/>
      <c r="J133" s="6"/>
      <c r="K133" s="6"/>
      <c r="L133" s="6"/>
      <c r="M133" s="138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138"/>
      <c r="H134" s="6"/>
      <c r="I134" s="6"/>
      <c r="J134" s="6"/>
      <c r="K134" s="6"/>
      <c r="L134" s="6"/>
      <c r="M134" s="138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138"/>
      <c r="H135" s="6"/>
      <c r="I135" s="6"/>
      <c r="J135" s="6"/>
      <c r="K135" s="6"/>
      <c r="L135" s="6"/>
      <c r="M135" s="138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138"/>
      <c r="H136" s="6"/>
      <c r="I136" s="6"/>
      <c r="J136" s="6"/>
      <c r="K136" s="6"/>
      <c r="L136" s="6"/>
      <c r="M136" s="138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138"/>
      <c r="H137" s="6"/>
      <c r="I137" s="6"/>
      <c r="J137" s="6"/>
      <c r="K137" s="6"/>
      <c r="L137" s="6"/>
      <c r="M137" s="138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138"/>
      <c r="H138" s="6"/>
      <c r="I138" s="6"/>
      <c r="J138" s="6"/>
      <c r="K138" s="6"/>
      <c r="L138" s="6"/>
      <c r="M138" s="138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138"/>
      <c r="H139" s="6"/>
      <c r="I139" s="6"/>
      <c r="J139" s="6"/>
      <c r="K139" s="6"/>
      <c r="L139" s="6"/>
      <c r="M139" s="138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138"/>
      <c r="H140" s="6"/>
      <c r="I140" s="6"/>
      <c r="J140" s="6"/>
      <c r="K140" s="6"/>
      <c r="L140" s="6"/>
      <c r="M140" s="138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138"/>
      <c r="H141" s="6"/>
      <c r="I141" s="6"/>
      <c r="J141" s="6"/>
      <c r="K141" s="6"/>
      <c r="L141" s="6"/>
      <c r="M141" s="138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138"/>
      <c r="H142" s="6"/>
      <c r="I142" s="6"/>
      <c r="J142" s="6"/>
      <c r="K142" s="6"/>
      <c r="L142" s="6"/>
      <c r="M142" s="138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138"/>
      <c r="H143" s="6"/>
      <c r="I143" s="6"/>
      <c r="J143" s="6"/>
      <c r="K143" s="6"/>
      <c r="L143" s="6"/>
      <c r="M143" s="138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138"/>
      <c r="H144" s="6"/>
      <c r="I144" s="6"/>
      <c r="J144" s="6"/>
      <c r="K144" s="6"/>
      <c r="L144" s="6"/>
      <c r="M144" s="138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138"/>
      <c r="H145" s="6"/>
      <c r="I145" s="6"/>
      <c r="J145" s="6"/>
      <c r="K145" s="6"/>
      <c r="L145" s="6"/>
      <c r="M145" s="138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138"/>
      <c r="H146" s="6"/>
      <c r="I146" s="6"/>
      <c r="J146" s="6"/>
      <c r="K146" s="6"/>
      <c r="L146" s="6"/>
      <c r="M146" s="138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138"/>
      <c r="H147" s="6"/>
      <c r="I147" s="6"/>
      <c r="J147" s="6"/>
      <c r="K147" s="6"/>
      <c r="L147" s="6"/>
      <c r="M147" s="138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138"/>
      <c r="H148" s="6"/>
      <c r="I148" s="6"/>
      <c r="J148" s="6"/>
      <c r="K148" s="6"/>
      <c r="L148" s="6"/>
      <c r="M148" s="138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138"/>
      <c r="H149" s="6"/>
      <c r="I149" s="6"/>
      <c r="J149" s="6"/>
      <c r="K149" s="6"/>
      <c r="L149" s="6"/>
      <c r="M149" s="138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138"/>
      <c r="H150" s="6"/>
      <c r="I150" s="6"/>
      <c r="J150" s="6"/>
      <c r="K150" s="6"/>
      <c r="L150" s="6"/>
      <c r="M150" s="138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138"/>
      <c r="H151" s="6"/>
      <c r="I151" s="6"/>
      <c r="J151" s="6"/>
      <c r="K151" s="6"/>
      <c r="L151" s="6"/>
      <c r="M151" s="138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138"/>
      <c r="H152" s="6"/>
      <c r="I152" s="6"/>
      <c r="J152" s="6"/>
      <c r="K152" s="6"/>
      <c r="L152" s="6"/>
      <c r="M152" s="138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138"/>
      <c r="H153" s="6"/>
      <c r="I153" s="6"/>
      <c r="J153" s="6"/>
      <c r="K153" s="6"/>
      <c r="L153" s="6"/>
      <c r="M153" s="138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138"/>
      <c r="H154" s="6"/>
      <c r="I154" s="6"/>
      <c r="J154" s="6"/>
      <c r="K154" s="6"/>
      <c r="L154" s="6"/>
      <c r="M154" s="138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138"/>
      <c r="H155" s="6"/>
      <c r="I155" s="6"/>
      <c r="J155" s="6"/>
      <c r="K155" s="6"/>
      <c r="L155" s="6"/>
      <c r="M155" s="138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138"/>
      <c r="H156" s="6"/>
      <c r="I156" s="6"/>
      <c r="J156" s="6"/>
      <c r="K156" s="6"/>
      <c r="L156" s="6"/>
      <c r="M156" s="138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138"/>
      <c r="H157" s="6"/>
      <c r="I157" s="6"/>
      <c r="J157" s="6"/>
      <c r="K157" s="6"/>
      <c r="L157" s="6"/>
      <c r="M157" s="138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138"/>
      <c r="H158" s="6"/>
      <c r="I158" s="6"/>
      <c r="J158" s="6"/>
      <c r="K158" s="6"/>
      <c r="L158" s="6"/>
      <c r="M158" s="138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138"/>
      <c r="H159" s="6"/>
      <c r="I159" s="6"/>
      <c r="J159" s="6"/>
      <c r="K159" s="6"/>
      <c r="L159" s="6"/>
      <c r="M159" s="138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138"/>
      <c r="H160" s="6"/>
      <c r="I160" s="6"/>
      <c r="J160" s="6"/>
      <c r="K160" s="6"/>
      <c r="L160" s="6"/>
      <c r="M160" s="138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138"/>
      <c r="H161" s="6"/>
      <c r="I161" s="6"/>
      <c r="J161" s="6"/>
      <c r="K161" s="6"/>
      <c r="L161" s="6"/>
      <c r="M161" s="138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138"/>
      <c r="H162" s="6"/>
      <c r="I162" s="6"/>
      <c r="J162" s="6"/>
      <c r="K162" s="6"/>
      <c r="L162" s="6"/>
      <c r="M162" s="138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138"/>
      <c r="H163" s="6"/>
      <c r="I163" s="6"/>
      <c r="J163" s="6"/>
      <c r="K163" s="6"/>
      <c r="L163" s="6"/>
      <c r="M163" s="138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138"/>
      <c r="H164" s="6"/>
      <c r="I164" s="6"/>
      <c r="J164" s="6"/>
      <c r="K164" s="6"/>
      <c r="L164" s="6"/>
      <c r="M164" s="138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138"/>
      <c r="H165" s="6"/>
      <c r="I165" s="6"/>
      <c r="J165" s="6"/>
      <c r="K165" s="6"/>
      <c r="L165" s="6"/>
      <c r="M165" s="138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138"/>
      <c r="H166" s="6"/>
      <c r="I166" s="6"/>
      <c r="J166" s="6"/>
      <c r="K166" s="6"/>
      <c r="L166" s="6"/>
      <c r="M166" s="138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138"/>
      <c r="H167" s="6"/>
      <c r="I167" s="6"/>
      <c r="J167" s="6"/>
      <c r="K167" s="6"/>
      <c r="L167" s="6"/>
      <c r="M167" s="138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138"/>
      <c r="H168" s="6"/>
      <c r="I168" s="6"/>
      <c r="J168" s="6"/>
      <c r="K168" s="6"/>
      <c r="L168" s="6"/>
      <c r="M168" s="138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138"/>
      <c r="H169" s="6"/>
      <c r="I169" s="6"/>
      <c r="J169" s="6"/>
      <c r="K169" s="6"/>
      <c r="L169" s="6"/>
      <c r="M169" s="138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138"/>
      <c r="H170" s="6"/>
      <c r="I170" s="6"/>
      <c r="J170" s="6"/>
      <c r="K170" s="6"/>
      <c r="L170" s="6"/>
      <c r="M170" s="138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138"/>
      <c r="H171" s="6"/>
      <c r="I171" s="6"/>
      <c r="J171" s="6"/>
      <c r="K171" s="6"/>
      <c r="L171" s="6"/>
      <c r="M171" s="138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138"/>
      <c r="H172" s="6"/>
      <c r="I172" s="6"/>
      <c r="J172" s="6"/>
      <c r="K172" s="6"/>
      <c r="L172" s="6"/>
      <c r="M172" s="138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138"/>
      <c r="H173" s="6"/>
      <c r="I173" s="6"/>
      <c r="J173" s="6"/>
      <c r="K173" s="6"/>
      <c r="L173" s="6"/>
      <c r="M173" s="138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138"/>
      <c r="H174" s="6"/>
      <c r="I174" s="6"/>
      <c r="J174" s="6"/>
      <c r="K174" s="6"/>
      <c r="L174" s="6"/>
      <c r="M174" s="138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138"/>
      <c r="H175" s="6"/>
      <c r="I175" s="6"/>
      <c r="J175" s="6"/>
      <c r="K175" s="6"/>
      <c r="L175" s="6"/>
      <c r="M175" s="138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138"/>
      <c r="H176" s="6"/>
      <c r="I176" s="6"/>
      <c r="J176" s="6"/>
      <c r="K176" s="6"/>
      <c r="L176" s="6"/>
      <c r="M176" s="138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138"/>
      <c r="H177" s="6"/>
      <c r="I177" s="6"/>
      <c r="J177" s="6"/>
      <c r="K177" s="6"/>
      <c r="L177" s="6"/>
      <c r="M177" s="138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138"/>
      <c r="H178" s="6"/>
      <c r="I178" s="6"/>
      <c r="J178" s="6"/>
      <c r="K178" s="6"/>
      <c r="L178" s="6"/>
      <c r="M178" s="138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138"/>
      <c r="H179" s="6"/>
      <c r="I179" s="6"/>
      <c r="J179" s="6"/>
      <c r="K179" s="6"/>
      <c r="L179" s="6"/>
      <c r="M179" s="138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138"/>
      <c r="H180" s="6"/>
      <c r="I180" s="6"/>
      <c r="J180" s="6"/>
      <c r="K180" s="6"/>
      <c r="L180" s="6"/>
      <c r="M180" s="138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138"/>
      <c r="H181" s="6"/>
      <c r="I181" s="6"/>
      <c r="J181" s="6"/>
      <c r="K181" s="6"/>
      <c r="L181" s="6"/>
      <c r="M181" s="138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138"/>
      <c r="H182" s="6"/>
      <c r="I182" s="6"/>
      <c r="J182" s="6"/>
      <c r="K182" s="6"/>
      <c r="L182" s="6"/>
      <c r="M182" s="138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138"/>
      <c r="H183" s="6"/>
      <c r="I183" s="6"/>
      <c r="J183" s="6"/>
      <c r="K183" s="6"/>
      <c r="L183" s="6"/>
      <c r="M183" s="138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138"/>
      <c r="H184" s="6"/>
      <c r="I184" s="6"/>
      <c r="J184" s="6"/>
      <c r="K184" s="6"/>
      <c r="L184" s="6"/>
      <c r="M184" s="138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138"/>
      <c r="H185" s="6"/>
      <c r="I185" s="6"/>
      <c r="J185" s="6"/>
      <c r="K185" s="6"/>
      <c r="L185" s="6"/>
      <c r="M185" s="138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138"/>
      <c r="H186" s="6"/>
      <c r="I186" s="6"/>
      <c r="J186" s="6"/>
      <c r="K186" s="6"/>
      <c r="L186" s="6"/>
      <c r="M186" s="138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138"/>
      <c r="H187" s="6"/>
      <c r="I187" s="6"/>
      <c r="J187" s="6"/>
      <c r="K187" s="6"/>
      <c r="L187" s="6"/>
      <c r="M187" s="138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138"/>
      <c r="H188" s="6"/>
      <c r="I188" s="6"/>
      <c r="J188" s="6"/>
      <c r="K188" s="6"/>
      <c r="L188" s="6"/>
      <c r="M188" s="138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138"/>
      <c r="H189" s="6"/>
      <c r="I189" s="6"/>
      <c r="J189" s="6"/>
      <c r="K189" s="6"/>
      <c r="L189" s="6"/>
      <c r="M189" s="138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138"/>
      <c r="H190" s="6"/>
      <c r="I190" s="6"/>
      <c r="J190" s="6"/>
      <c r="K190" s="6"/>
      <c r="L190" s="6"/>
      <c r="M190" s="138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138"/>
      <c r="H191" s="6"/>
      <c r="I191" s="6"/>
      <c r="J191" s="6"/>
      <c r="K191" s="6"/>
      <c r="L191" s="6"/>
      <c r="M191" s="138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138"/>
      <c r="H192" s="6"/>
      <c r="I192" s="6"/>
      <c r="J192" s="6"/>
      <c r="K192" s="6"/>
      <c r="L192" s="6"/>
      <c r="M192" s="138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138"/>
      <c r="H193" s="6"/>
      <c r="I193" s="6"/>
      <c r="J193" s="6"/>
      <c r="K193" s="6"/>
      <c r="L193" s="6"/>
      <c r="M193" s="138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138"/>
      <c r="H194" s="6"/>
      <c r="I194" s="6"/>
      <c r="J194" s="6"/>
      <c r="K194" s="6"/>
      <c r="L194" s="6"/>
      <c r="M194" s="138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138"/>
      <c r="H195" s="6"/>
      <c r="I195" s="6"/>
      <c r="J195" s="6"/>
      <c r="K195" s="6"/>
      <c r="L195" s="6"/>
      <c r="M195" s="138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138"/>
      <c r="H196" s="6"/>
      <c r="I196" s="6"/>
      <c r="J196" s="6"/>
      <c r="K196" s="6"/>
      <c r="L196" s="6"/>
      <c r="M196" s="138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138"/>
      <c r="H197" s="6"/>
      <c r="I197" s="6"/>
      <c r="J197" s="6"/>
      <c r="K197" s="6"/>
      <c r="L197" s="6"/>
      <c r="M197" s="138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138"/>
      <c r="H198" s="6"/>
      <c r="I198" s="6"/>
      <c r="J198" s="6"/>
      <c r="K198" s="6"/>
      <c r="L198" s="6"/>
      <c r="M198" s="138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138"/>
      <c r="H199" s="6"/>
      <c r="I199" s="6"/>
      <c r="J199" s="6"/>
      <c r="K199" s="6"/>
      <c r="L199" s="6"/>
      <c r="M199" s="138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138"/>
      <c r="H200" s="6"/>
      <c r="I200" s="6"/>
      <c r="J200" s="6"/>
      <c r="K200" s="6"/>
      <c r="L200" s="6"/>
      <c r="M200" s="138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138"/>
      <c r="H201" s="6"/>
      <c r="I201" s="6"/>
      <c r="J201" s="6"/>
      <c r="K201" s="6"/>
      <c r="L201" s="6"/>
      <c r="M201" s="138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138"/>
      <c r="H202" s="6"/>
      <c r="I202" s="6"/>
      <c r="J202" s="6"/>
      <c r="K202" s="6"/>
      <c r="L202" s="6"/>
      <c r="M202" s="138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138"/>
      <c r="H203" s="6"/>
      <c r="I203" s="6"/>
      <c r="J203" s="6"/>
      <c r="K203" s="6"/>
      <c r="L203" s="6"/>
      <c r="M203" s="138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138"/>
      <c r="H204" s="6"/>
      <c r="I204" s="6"/>
      <c r="J204" s="6"/>
      <c r="K204" s="6"/>
      <c r="L204" s="6"/>
      <c r="M204" s="138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138"/>
      <c r="H205" s="6"/>
      <c r="I205" s="6"/>
      <c r="J205" s="6"/>
      <c r="K205" s="6"/>
      <c r="L205" s="6"/>
      <c r="M205" s="138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138"/>
      <c r="H206" s="6"/>
      <c r="I206" s="6"/>
      <c r="J206" s="6"/>
      <c r="K206" s="6"/>
      <c r="L206" s="6"/>
      <c r="M206" s="138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138"/>
      <c r="H207" s="6"/>
      <c r="I207" s="6"/>
      <c r="J207" s="6"/>
      <c r="K207" s="6"/>
      <c r="L207" s="6"/>
      <c r="M207" s="138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138"/>
      <c r="H208" s="6"/>
      <c r="I208" s="6"/>
      <c r="J208" s="6"/>
      <c r="K208" s="6"/>
      <c r="L208" s="6"/>
      <c r="M208" s="138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138"/>
      <c r="H209" s="6"/>
      <c r="I209" s="6"/>
      <c r="J209" s="6"/>
      <c r="K209" s="6"/>
      <c r="L209" s="6"/>
      <c r="M209" s="138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138"/>
      <c r="H210" s="6"/>
      <c r="I210" s="6"/>
      <c r="J210" s="6"/>
      <c r="K210" s="6"/>
      <c r="L210" s="6"/>
      <c r="M210" s="138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138"/>
      <c r="H211" s="6"/>
      <c r="I211" s="6"/>
      <c r="J211" s="6"/>
      <c r="K211" s="6"/>
      <c r="L211" s="6"/>
      <c r="M211" s="138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138"/>
      <c r="H212" s="6"/>
      <c r="I212" s="6"/>
      <c r="J212" s="6"/>
      <c r="K212" s="6"/>
      <c r="L212" s="6"/>
      <c r="M212" s="138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138"/>
      <c r="H213" s="6"/>
      <c r="I213" s="6"/>
      <c r="J213" s="6"/>
      <c r="K213" s="6"/>
      <c r="L213" s="6"/>
      <c r="M213" s="138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138"/>
      <c r="H214" s="6"/>
      <c r="I214" s="6"/>
      <c r="J214" s="6"/>
      <c r="K214" s="6"/>
      <c r="L214" s="6"/>
      <c r="M214" s="138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138"/>
      <c r="H215" s="6"/>
      <c r="I215" s="6"/>
      <c r="J215" s="6"/>
      <c r="K215" s="6"/>
      <c r="L215" s="6"/>
      <c r="M215" s="138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138"/>
      <c r="H216" s="6"/>
      <c r="I216" s="6"/>
      <c r="J216" s="6"/>
      <c r="K216" s="6"/>
      <c r="L216" s="6"/>
      <c r="M216" s="138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138"/>
      <c r="H217" s="6"/>
      <c r="I217" s="6"/>
      <c r="J217" s="6"/>
      <c r="K217" s="6"/>
      <c r="L217" s="6"/>
      <c r="M217" s="138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138"/>
      <c r="H218" s="6"/>
      <c r="I218" s="6"/>
      <c r="J218" s="6"/>
      <c r="K218" s="6"/>
      <c r="L218" s="6"/>
      <c r="M218" s="138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138"/>
      <c r="H219" s="6"/>
      <c r="I219" s="6"/>
      <c r="J219" s="6"/>
      <c r="K219" s="6"/>
      <c r="L219" s="6"/>
      <c r="M219" s="138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138"/>
      <c r="H220" s="6"/>
      <c r="I220" s="6"/>
      <c r="J220" s="6"/>
      <c r="K220" s="6"/>
      <c r="L220" s="6"/>
      <c r="M220" s="138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138"/>
      <c r="H221" s="6"/>
      <c r="I221" s="6"/>
      <c r="J221" s="6"/>
      <c r="K221" s="6"/>
      <c r="L221" s="6"/>
      <c r="M221" s="138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138"/>
      <c r="H222" s="6"/>
      <c r="I222" s="6"/>
      <c r="J222" s="6"/>
      <c r="K222" s="6"/>
      <c r="L222" s="6"/>
      <c r="M222" s="138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138"/>
      <c r="H223" s="6"/>
      <c r="I223" s="6"/>
      <c r="J223" s="6"/>
      <c r="K223" s="6"/>
      <c r="L223" s="6"/>
      <c r="M223" s="138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138"/>
      <c r="H224" s="6"/>
      <c r="I224" s="6"/>
      <c r="J224" s="6"/>
      <c r="K224" s="6"/>
      <c r="L224" s="6"/>
      <c r="M224" s="138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138"/>
      <c r="H225" s="6"/>
      <c r="I225" s="6"/>
      <c r="J225" s="6"/>
      <c r="K225" s="6"/>
      <c r="L225" s="6"/>
      <c r="M225" s="138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138"/>
      <c r="H226" s="6"/>
      <c r="I226" s="6"/>
      <c r="J226" s="6"/>
      <c r="K226" s="6"/>
      <c r="L226" s="6"/>
      <c r="M226" s="138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138"/>
      <c r="H227" s="6"/>
      <c r="I227" s="6"/>
      <c r="J227" s="6"/>
      <c r="K227" s="6"/>
      <c r="L227" s="6"/>
      <c r="M227" s="138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138"/>
      <c r="H228" s="6"/>
      <c r="I228" s="6"/>
      <c r="J228" s="6"/>
      <c r="K228" s="6"/>
      <c r="L228" s="6"/>
      <c r="M228" s="138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138"/>
      <c r="H229" s="6"/>
      <c r="I229" s="6"/>
      <c r="J229" s="6"/>
      <c r="K229" s="6"/>
      <c r="L229" s="6"/>
      <c r="M229" s="138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138"/>
      <c r="H230" s="6"/>
      <c r="I230" s="6"/>
      <c r="J230" s="6"/>
      <c r="K230" s="6"/>
      <c r="L230" s="6"/>
      <c r="M230" s="138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138"/>
      <c r="H231" s="6"/>
      <c r="I231" s="6"/>
      <c r="J231" s="6"/>
      <c r="K231" s="6"/>
      <c r="L231" s="6"/>
      <c r="M231" s="138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138"/>
      <c r="H232" s="6"/>
      <c r="I232" s="6"/>
      <c r="J232" s="6"/>
      <c r="K232" s="6"/>
      <c r="L232" s="6"/>
      <c r="M232" s="138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138"/>
      <c r="H233" s="6"/>
      <c r="I233" s="6"/>
      <c r="J233" s="6"/>
      <c r="K233" s="6"/>
      <c r="L233" s="6"/>
      <c r="M233" s="138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138"/>
      <c r="H234" s="6"/>
      <c r="I234" s="6"/>
      <c r="J234" s="6"/>
      <c r="K234" s="6"/>
      <c r="L234" s="6"/>
      <c r="M234" s="138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138"/>
      <c r="H235" s="6"/>
      <c r="I235" s="6"/>
      <c r="J235" s="6"/>
      <c r="K235" s="6"/>
      <c r="L235" s="6"/>
      <c r="M235" s="138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138"/>
      <c r="H236" s="6"/>
      <c r="I236" s="6"/>
      <c r="J236" s="6"/>
      <c r="K236" s="6"/>
      <c r="L236" s="6"/>
      <c r="M236" s="138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138"/>
      <c r="H237" s="6"/>
      <c r="I237" s="6"/>
      <c r="J237" s="6"/>
      <c r="K237" s="6"/>
      <c r="L237" s="6"/>
      <c r="M237" s="138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138"/>
      <c r="H238" s="6"/>
      <c r="I238" s="6"/>
      <c r="J238" s="6"/>
      <c r="K238" s="6"/>
      <c r="L238" s="6"/>
      <c r="M238" s="138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138"/>
      <c r="H239" s="6"/>
      <c r="I239" s="6"/>
      <c r="J239" s="6"/>
      <c r="K239" s="6"/>
      <c r="L239" s="6"/>
      <c r="M239" s="138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138"/>
      <c r="H240" s="6"/>
      <c r="I240" s="6"/>
      <c r="J240" s="6"/>
      <c r="K240" s="6"/>
      <c r="L240" s="6"/>
      <c r="M240" s="138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138"/>
      <c r="H241" s="6"/>
      <c r="I241" s="6"/>
      <c r="J241" s="6"/>
      <c r="K241" s="6"/>
      <c r="L241" s="6"/>
      <c r="M241" s="138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138"/>
      <c r="H242" s="6"/>
      <c r="I242" s="6"/>
      <c r="J242" s="6"/>
      <c r="K242" s="6"/>
      <c r="L242" s="6"/>
      <c r="M242" s="138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138"/>
      <c r="H243" s="6"/>
      <c r="I243" s="6"/>
      <c r="J243" s="6"/>
      <c r="K243" s="6"/>
      <c r="L243" s="6"/>
      <c r="M243" s="138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138"/>
      <c r="H244" s="6"/>
      <c r="I244" s="6"/>
      <c r="J244" s="6"/>
      <c r="K244" s="6"/>
      <c r="L244" s="6"/>
      <c r="M244" s="138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138"/>
      <c r="H245" s="6"/>
      <c r="I245" s="6"/>
      <c r="J245" s="6"/>
      <c r="K245" s="6"/>
      <c r="L245" s="6"/>
      <c r="M245" s="138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138"/>
      <c r="H246" s="6"/>
      <c r="I246" s="6"/>
      <c r="J246" s="6"/>
      <c r="K246" s="6"/>
      <c r="L246" s="6"/>
      <c r="M246" s="138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138"/>
      <c r="H247" s="6"/>
      <c r="I247" s="6"/>
      <c r="J247" s="6"/>
      <c r="K247" s="6"/>
      <c r="L247" s="6"/>
      <c r="M247" s="138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138"/>
      <c r="H248" s="6"/>
      <c r="I248" s="6"/>
      <c r="J248" s="6"/>
      <c r="K248" s="6"/>
      <c r="L248" s="6"/>
      <c r="M248" s="138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138"/>
      <c r="H249" s="6"/>
      <c r="I249" s="6"/>
      <c r="J249" s="6"/>
      <c r="K249" s="6"/>
      <c r="L249" s="6"/>
      <c r="M249" s="138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138"/>
      <c r="H250" s="6"/>
      <c r="I250" s="6"/>
      <c r="J250" s="6"/>
      <c r="K250" s="6"/>
      <c r="L250" s="6"/>
      <c r="M250" s="138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138"/>
      <c r="H251" s="6"/>
      <c r="I251" s="6"/>
      <c r="J251" s="6"/>
      <c r="K251" s="6"/>
      <c r="L251" s="6"/>
      <c r="M251" s="138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138"/>
      <c r="H252" s="6"/>
      <c r="I252" s="6"/>
      <c r="J252" s="6"/>
      <c r="K252" s="6"/>
      <c r="L252" s="6"/>
      <c r="M252" s="138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138"/>
      <c r="H253" s="6"/>
      <c r="I253" s="6"/>
      <c r="J253" s="6"/>
      <c r="K253" s="6"/>
      <c r="L253" s="6"/>
      <c r="M253" s="138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138"/>
      <c r="H254" s="6"/>
      <c r="I254" s="6"/>
      <c r="J254" s="6"/>
      <c r="K254" s="6"/>
      <c r="L254" s="6"/>
      <c r="M254" s="138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138"/>
      <c r="H255" s="6"/>
      <c r="I255" s="6"/>
      <c r="J255" s="6"/>
      <c r="K255" s="6"/>
      <c r="L255" s="6"/>
      <c r="M255" s="138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138"/>
      <c r="H256" s="6"/>
      <c r="I256" s="6"/>
      <c r="J256" s="6"/>
      <c r="K256" s="6"/>
      <c r="L256" s="6"/>
      <c r="M256" s="138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138"/>
      <c r="H257" s="6"/>
      <c r="I257" s="6"/>
      <c r="J257" s="6"/>
      <c r="K257" s="6"/>
      <c r="L257" s="6"/>
      <c r="M257" s="138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138"/>
      <c r="H258" s="6"/>
      <c r="I258" s="6"/>
      <c r="J258" s="6"/>
      <c r="K258" s="6"/>
      <c r="L258" s="6"/>
      <c r="M258" s="138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138"/>
      <c r="H259" s="6"/>
      <c r="I259" s="6"/>
      <c r="J259" s="6"/>
      <c r="K259" s="6"/>
      <c r="L259" s="6"/>
      <c r="M259" s="138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138"/>
      <c r="H260" s="6"/>
      <c r="I260" s="6"/>
      <c r="J260" s="6"/>
      <c r="K260" s="6"/>
      <c r="L260" s="6"/>
      <c r="M260" s="138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138"/>
      <c r="H261" s="6"/>
      <c r="I261" s="6"/>
      <c r="J261" s="6"/>
      <c r="K261" s="6"/>
      <c r="L261" s="6"/>
      <c r="M261" s="138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138"/>
      <c r="H262" s="6"/>
      <c r="I262" s="6"/>
      <c r="J262" s="6"/>
      <c r="K262" s="6"/>
      <c r="L262" s="6"/>
      <c r="M262" s="138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138"/>
      <c r="H263" s="6"/>
      <c r="I263" s="6"/>
      <c r="J263" s="6"/>
      <c r="K263" s="6"/>
      <c r="L263" s="6"/>
      <c r="M263" s="138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138"/>
      <c r="H264" s="6"/>
      <c r="I264" s="6"/>
      <c r="J264" s="6"/>
      <c r="K264" s="6"/>
      <c r="L264" s="6"/>
      <c r="M264" s="138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138"/>
      <c r="H265" s="6"/>
      <c r="I265" s="6"/>
      <c r="J265" s="6"/>
      <c r="K265" s="6"/>
      <c r="L265" s="6"/>
      <c r="M265" s="138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138"/>
      <c r="H266" s="6"/>
      <c r="I266" s="6"/>
      <c r="J266" s="6"/>
      <c r="K266" s="6"/>
      <c r="L266" s="6"/>
      <c r="M266" s="138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138"/>
      <c r="H267" s="6"/>
      <c r="I267" s="6"/>
      <c r="J267" s="6"/>
      <c r="K267" s="6"/>
      <c r="L267" s="6"/>
      <c r="M267" s="138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138"/>
      <c r="H268" s="6"/>
      <c r="I268" s="6"/>
      <c r="J268" s="6"/>
      <c r="K268" s="6"/>
      <c r="L268" s="6"/>
      <c r="M268" s="138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138"/>
      <c r="H269" s="6"/>
      <c r="I269" s="6"/>
      <c r="J269" s="6"/>
      <c r="K269" s="6"/>
      <c r="L269" s="6"/>
      <c r="M269" s="138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138"/>
      <c r="H270" s="6"/>
      <c r="I270" s="6"/>
      <c r="J270" s="6"/>
      <c r="K270" s="6"/>
      <c r="L270" s="6"/>
      <c r="M270" s="138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138"/>
      <c r="H271" s="6"/>
      <c r="I271" s="6"/>
      <c r="J271" s="6"/>
      <c r="K271" s="6"/>
      <c r="L271" s="6"/>
      <c r="M271" s="138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138"/>
      <c r="H272" s="6"/>
      <c r="I272" s="6"/>
      <c r="J272" s="6"/>
      <c r="K272" s="6"/>
      <c r="L272" s="6"/>
      <c r="M272" s="138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138"/>
      <c r="H273" s="6"/>
      <c r="I273" s="6"/>
      <c r="J273" s="6"/>
      <c r="K273" s="6"/>
      <c r="L273" s="6"/>
      <c r="M273" s="138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138"/>
      <c r="H274" s="6"/>
      <c r="I274" s="6"/>
      <c r="J274" s="6"/>
      <c r="K274" s="6"/>
      <c r="L274" s="6"/>
      <c r="M274" s="138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138"/>
      <c r="H275" s="6"/>
      <c r="I275" s="6"/>
      <c r="J275" s="6"/>
      <c r="K275" s="6"/>
      <c r="L275" s="6"/>
      <c r="M275" s="138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138"/>
      <c r="H276" s="6"/>
      <c r="I276" s="6"/>
      <c r="J276" s="6"/>
      <c r="K276" s="6"/>
      <c r="L276" s="6"/>
      <c r="M276" s="138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138"/>
      <c r="H277" s="6"/>
      <c r="I277" s="6"/>
      <c r="J277" s="6"/>
      <c r="K277" s="6"/>
      <c r="L277" s="6"/>
      <c r="M277" s="138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138"/>
      <c r="H278" s="6"/>
      <c r="I278" s="6"/>
      <c r="J278" s="6"/>
      <c r="K278" s="6"/>
      <c r="L278" s="6"/>
      <c r="M278" s="138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138"/>
      <c r="H279" s="6"/>
      <c r="I279" s="6"/>
      <c r="J279" s="6"/>
      <c r="K279" s="6"/>
      <c r="L279" s="6"/>
      <c r="M279" s="138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138"/>
      <c r="H280" s="6"/>
      <c r="I280" s="6"/>
      <c r="J280" s="6"/>
      <c r="K280" s="6"/>
      <c r="L280" s="6"/>
      <c r="M280" s="138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138"/>
      <c r="H281" s="6"/>
      <c r="I281" s="6"/>
      <c r="J281" s="6"/>
      <c r="K281" s="6"/>
      <c r="L281" s="6"/>
      <c r="M281" s="138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138"/>
      <c r="H282" s="6"/>
      <c r="I282" s="6"/>
      <c r="J282" s="6"/>
      <c r="K282" s="6"/>
      <c r="L282" s="6"/>
      <c r="M282" s="138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138"/>
      <c r="H283" s="6"/>
      <c r="I283" s="6"/>
      <c r="J283" s="6"/>
      <c r="K283" s="6"/>
      <c r="L283" s="6"/>
      <c r="M283" s="138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138"/>
      <c r="H284" s="6"/>
      <c r="I284" s="6"/>
      <c r="J284" s="6"/>
      <c r="K284" s="6"/>
      <c r="L284" s="6"/>
      <c r="M284" s="138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138"/>
      <c r="H285" s="6"/>
      <c r="I285" s="6"/>
      <c r="J285" s="6"/>
      <c r="K285" s="6"/>
      <c r="L285" s="6"/>
      <c r="M285" s="138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138"/>
      <c r="H286" s="6"/>
      <c r="I286" s="6"/>
      <c r="J286" s="6"/>
      <c r="K286" s="6"/>
      <c r="L286" s="6"/>
      <c r="M286" s="138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138"/>
      <c r="H287" s="6"/>
      <c r="I287" s="6"/>
      <c r="J287" s="6"/>
      <c r="K287" s="6"/>
      <c r="L287" s="6"/>
      <c r="M287" s="138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138"/>
      <c r="H288" s="6"/>
      <c r="I288" s="6"/>
      <c r="J288" s="6"/>
      <c r="K288" s="6"/>
      <c r="L288" s="6"/>
      <c r="M288" s="138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138"/>
      <c r="H289" s="6"/>
      <c r="I289" s="6"/>
      <c r="J289" s="6"/>
      <c r="K289" s="6"/>
      <c r="L289" s="6"/>
      <c r="M289" s="138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138"/>
      <c r="H290" s="6"/>
      <c r="I290" s="6"/>
      <c r="J290" s="6"/>
      <c r="K290" s="6"/>
      <c r="L290" s="6"/>
      <c r="M290" s="138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138"/>
      <c r="H291" s="6"/>
      <c r="I291" s="6"/>
      <c r="J291" s="6"/>
      <c r="K291" s="6"/>
      <c r="L291" s="6"/>
      <c r="M291" s="138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138"/>
      <c r="H292" s="6"/>
      <c r="I292" s="6"/>
      <c r="J292" s="6"/>
      <c r="K292" s="6"/>
      <c r="L292" s="6"/>
      <c r="M292" s="138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138"/>
      <c r="H293" s="6"/>
      <c r="I293" s="6"/>
      <c r="J293" s="6"/>
      <c r="K293" s="6"/>
      <c r="L293" s="6"/>
      <c r="M293" s="138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138"/>
      <c r="H294" s="6"/>
      <c r="I294" s="6"/>
      <c r="J294" s="6"/>
      <c r="K294" s="6"/>
      <c r="L294" s="6"/>
      <c r="M294" s="138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138"/>
      <c r="H295" s="6"/>
      <c r="I295" s="6"/>
      <c r="J295" s="6"/>
      <c r="K295" s="6"/>
      <c r="L295" s="6"/>
      <c r="M295" s="138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138"/>
      <c r="H296" s="6"/>
      <c r="I296" s="6"/>
      <c r="J296" s="6"/>
      <c r="K296" s="6"/>
      <c r="L296" s="6"/>
      <c r="M296" s="138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138"/>
      <c r="H297" s="6"/>
      <c r="I297" s="6"/>
      <c r="J297" s="6"/>
      <c r="K297" s="6"/>
      <c r="L297" s="6"/>
      <c r="M297" s="138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138"/>
      <c r="H298" s="6"/>
      <c r="I298" s="6"/>
      <c r="J298" s="6"/>
      <c r="K298" s="6"/>
      <c r="L298" s="6"/>
      <c r="M298" s="138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138"/>
      <c r="H299" s="6"/>
      <c r="I299" s="6"/>
      <c r="J299" s="6"/>
      <c r="K299" s="6"/>
      <c r="L299" s="6"/>
      <c r="M299" s="138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138"/>
      <c r="H300" s="6"/>
      <c r="I300" s="6"/>
      <c r="J300" s="6"/>
      <c r="K300" s="6"/>
      <c r="L300" s="6"/>
      <c r="M300" s="138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138"/>
      <c r="H301" s="6"/>
      <c r="I301" s="6"/>
      <c r="J301" s="6"/>
      <c r="K301" s="6"/>
      <c r="L301" s="6"/>
      <c r="M301" s="138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138"/>
      <c r="H302" s="6"/>
      <c r="I302" s="6"/>
      <c r="J302" s="6"/>
      <c r="K302" s="6"/>
      <c r="L302" s="6"/>
      <c r="M302" s="138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138"/>
      <c r="H303" s="6"/>
      <c r="I303" s="6"/>
      <c r="J303" s="6"/>
      <c r="K303" s="6"/>
      <c r="L303" s="6"/>
      <c r="M303" s="138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138"/>
      <c r="H304" s="6"/>
      <c r="I304" s="6"/>
      <c r="J304" s="6"/>
      <c r="K304" s="6"/>
      <c r="L304" s="6"/>
      <c r="M304" s="138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138"/>
      <c r="H305" s="6"/>
      <c r="I305" s="6"/>
      <c r="J305" s="6"/>
      <c r="K305" s="6"/>
      <c r="L305" s="6"/>
      <c r="M305" s="138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138"/>
      <c r="H306" s="6"/>
      <c r="I306" s="6"/>
      <c r="J306" s="6"/>
      <c r="K306" s="6"/>
      <c r="L306" s="6"/>
      <c r="M306" s="138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138"/>
      <c r="H307" s="6"/>
      <c r="I307" s="6"/>
      <c r="J307" s="6"/>
      <c r="K307" s="6"/>
      <c r="L307" s="6"/>
      <c r="M307" s="138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138"/>
      <c r="H308" s="6"/>
      <c r="I308" s="6"/>
      <c r="J308" s="6"/>
      <c r="K308" s="6"/>
      <c r="L308" s="6"/>
      <c r="M308" s="138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138"/>
      <c r="H309" s="6"/>
      <c r="I309" s="6"/>
      <c r="J309" s="6"/>
      <c r="K309" s="6"/>
      <c r="L309" s="6"/>
      <c r="M309" s="138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138"/>
      <c r="H310" s="6"/>
      <c r="I310" s="6"/>
      <c r="J310" s="6"/>
      <c r="K310" s="6"/>
      <c r="L310" s="6"/>
      <c r="M310" s="138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138"/>
      <c r="H311" s="6"/>
      <c r="I311" s="6"/>
      <c r="J311" s="6"/>
      <c r="K311" s="6"/>
      <c r="L311" s="6"/>
      <c r="M311" s="138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138"/>
      <c r="H312" s="6"/>
      <c r="I312" s="6"/>
      <c r="J312" s="6"/>
      <c r="K312" s="6"/>
      <c r="L312" s="6"/>
      <c r="M312" s="138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138"/>
      <c r="H313" s="6"/>
      <c r="I313" s="6"/>
      <c r="J313" s="6"/>
      <c r="K313" s="6"/>
      <c r="L313" s="6"/>
      <c r="M313" s="138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138"/>
      <c r="H314" s="6"/>
      <c r="I314" s="6"/>
      <c r="J314" s="6"/>
      <c r="K314" s="6"/>
      <c r="L314" s="6"/>
      <c r="M314" s="138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138"/>
      <c r="H315" s="6"/>
      <c r="I315" s="6"/>
      <c r="J315" s="6"/>
      <c r="K315" s="6"/>
      <c r="L315" s="6"/>
      <c r="M315" s="138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138"/>
      <c r="H316" s="6"/>
      <c r="I316" s="6"/>
      <c r="J316" s="6"/>
      <c r="K316" s="6"/>
      <c r="L316" s="6"/>
      <c r="M316" s="138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138"/>
      <c r="H317" s="6"/>
      <c r="I317" s="6"/>
      <c r="J317" s="6"/>
      <c r="K317" s="6"/>
      <c r="L317" s="6"/>
      <c r="M317" s="138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138"/>
      <c r="H318" s="6"/>
      <c r="I318" s="6"/>
      <c r="J318" s="6"/>
      <c r="K318" s="6"/>
      <c r="L318" s="6"/>
      <c r="M318" s="138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138"/>
      <c r="H319" s="6"/>
      <c r="I319" s="6"/>
      <c r="J319" s="6"/>
      <c r="K319" s="6"/>
      <c r="L319" s="6"/>
      <c r="M319" s="138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138"/>
      <c r="H320" s="6"/>
      <c r="I320" s="6"/>
      <c r="J320" s="6"/>
      <c r="K320" s="6"/>
      <c r="L320" s="6"/>
      <c r="M320" s="138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138"/>
      <c r="H321" s="6"/>
      <c r="I321" s="6"/>
      <c r="J321" s="6"/>
      <c r="K321" s="6"/>
      <c r="L321" s="6"/>
      <c r="M321" s="138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138"/>
      <c r="H322" s="6"/>
      <c r="I322" s="6"/>
      <c r="J322" s="6"/>
      <c r="K322" s="6"/>
      <c r="L322" s="6"/>
      <c r="M322" s="138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138"/>
      <c r="H323" s="6"/>
      <c r="I323" s="6"/>
      <c r="J323" s="6"/>
      <c r="K323" s="6"/>
      <c r="L323" s="6"/>
      <c r="M323" s="138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138"/>
      <c r="H324" s="6"/>
      <c r="I324" s="6"/>
      <c r="J324" s="6"/>
      <c r="K324" s="6"/>
      <c r="L324" s="6"/>
      <c r="M324" s="138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138"/>
      <c r="H325" s="6"/>
      <c r="I325" s="6"/>
      <c r="J325" s="6"/>
      <c r="K325" s="6"/>
      <c r="L325" s="6"/>
      <c r="M325" s="138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138"/>
      <c r="H326" s="6"/>
      <c r="I326" s="6"/>
      <c r="J326" s="6"/>
      <c r="K326" s="6"/>
      <c r="L326" s="6"/>
      <c r="M326" s="138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138"/>
      <c r="H327" s="6"/>
      <c r="I327" s="6"/>
      <c r="J327" s="6"/>
      <c r="K327" s="6"/>
      <c r="L327" s="6"/>
      <c r="M327" s="138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138"/>
      <c r="H328" s="6"/>
      <c r="I328" s="6"/>
      <c r="J328" s="6"/>
      <c r="K328" s="6"/>
      <c r="L328" s="6"/>
      <c r="M328" s="138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138"/>
      <c r="H329" s="6"/>
      <c r="I329" s="6"/>
      <c r="J329" s="6"/>
      <c r="K329" s="6"/>
      <c r="L329" s="6"/>
      <c r="M329" s="138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138"/>
      <c r="H330" s="6"/>
      <c r="I330" s="6"/>
      <c r="J330" s="6"/>
      <c r="K330" s="6"/>
      <c r="L330" s="6"/>
      <c r="M330" s="138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138"/>
      <c r="H331" s="6"/>
      <c r="I331" s="6"/>
      <c r="J331" s="6"/>
      <c r="K331" s="6"/>
      <c r="L331" s="6"/>
      <c r="M331" s="138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138"/>
      <c r="H332" s="6"/>
      <c r="I332" s="6"/>
      <c r="J332" s="6"/>
      <c r="K332" s="6"/>
      <c r="L332" s="6"/>
      <c r="M332" s="138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138"/>
      <c r="H333" s="6"/>
      <c r="I333" s="6"/>
      <c r="J333" s="6"/>
      <c r="K333" s="6"/>
      <c r="L333" s="6"/>
      <c r="M333" s="138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138"/>
      <c r="H334" s="6"/>
      <c r="I334" s="6"/>
      <c r="J334" s="6"/>
      <c r="K334" s="6"/>
      <c r="L334" s="6"/>
      <c r="M334" s="138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138"/>
      <c r="H335" s="6"/>
      <c r="I335" s="6"/>
      <c r="J335" s="6"/>
      <c r="K335" s="6"/>
      <c r="L335" s="6"/>
      <c r="M335" s="138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138"/>
      <c r="H336" s="6"/>
      <c r="I336" s="6"/>
      <c r="J336" s="6"/>
      <c r="K336" s="6"/>
      <c r="L336" s="6"/>
      <c r="M336" s="138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138"/>
      <c r="H337" s="6"/>
      <c r="I337" s="6"/>
      <c r="J337" s="6"/>
      <c r="K337" s="6"/>
      <c r="L337" s="6"/>
      <c r="M337" s="138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138"/>
      <c r="H338" s="6"/>
      <c r="I338" s="6"/>
      <c r="J338" s="6"/>
      <c r="K338" s="6"/>
      <c r="L338" s="6"/>
      <c r="M338" s="138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138"/>
      <c r="H339" s="6"/>
      <c r="I339" s="6"/>
      <c r="J339" s="6"/>
      <c r="K339" s="6"/>
      <c r="L339" s="6"/>
      <c r="M339" s="138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138"/>
      <c r="H340" s="6"/>
      <c r="I340" s="6"/>
      <c r="J340" s="6"/>
      <c r="K340" s="6"/>
      <c r="L340" s="6"/>
      <c r="M340" s="138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138"/>
      <c r="H341" s="6"/>
      <c r="I341" s="6"/>
      <c r="J341" s="6"/>
      <c r="K341" s="6"/>
      <c r="L341" s="6"/>
      <c r="M341" s="138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138"/>
      <c r="H342" s="6"/>
      <c r="I342" s="6"/>
      <c r="J342" s="6"/>
      <c r="K342" s="6"/>
      <c r="L342" s="6"/>
      <c r="M342" s="138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138"/>
      <c r="H343" s="6"/>
      <c r="I343" s="6"/>
      <c r="J343" s="6"/>
      <c r="K343" s="6"/>
      <c r="L343" s="6"/>
      <c r="M343" s="138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138"/>
      <c r="H344" s="6"/>
      <c r="I344" s="6"/>
      <c r="J344" s="6"/>
      <c r="K344" s="6"/>
      <c r="L344" s="6"/>
      <c r="M344" s="138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138"/>
      <c r="H345" s="6"/>
      <c r="I345" s="6"/>
      <c r="J345" s="6"/>
      <c r="K345" s="6"/>
      <c r="L345" s="6"/>
      <c r="M345" s="138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138"/>
      <c r="H346" s="6"/>
      <c r="I346" s="6"/>
      <c r="J346" s="6"/>
      <c r="K346" s="6"/>
      <c r="L346" s="6"/>
      <c r="M346" s="138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138"/>
      <c r="H347" s="6"/>
      <c r="I347" s="6"/>
      <c r="J347" s="6"/>
      <c r="K347" s="6"/>
      <c r="L347" s="6"/>
      <c r="M347" s="138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138"/>
      <c r="H348" s="6"/>
      <c r="I348" s="6"/>
      <c r="J348" s="6"/>
      <c r="K348" s="6"/>
      <c r="L348" s="6"/>
      <c r="M348" s="138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138"/>
      <c r="H349" s="6"/>
      <c r="I349" s="6"/>
      <c r="J349" s="6"/>
      <c r="K349" s="6"/>
      <c r="L349" s="6"/>
      <c r="M349" s="138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138"/>
      <c r="H350" s="6"/>
      <c r="I350" s="6"/>
      <c r="J350" s="6"/>
      <c r="K350" s="6"/>
      <c r="L350" s="6"/>
      <c r="M350" s="138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138"/>
      <c r="H351" s="6"/>
      <c r="I351" s="6"/>
      <c r="J351" s="6"/>
      <c r="K351" s="6"/>
      <c r="L351" s="6"/>
      <c r="M351" s="138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138"/>
      <c r="H352" s="6"/>
      <c r="I352" s="6"/>
      <c r="J352" s="6"/>
      <c r="K352" s="6"/>
      <c r="L352" s="6"/>
      <c r="M352" s="138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138"/>
      <c r="H353" s="6"/>
      <c r="I353" s="6"/>
      <c r="J353" s="6"/>
      <c r="K353" s="6"/>
      <c r="L353" s="6"/>
      <c r="M353" s="138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138"/>
      <c r="H354" s="6"/>
      <c r="I354" s="6"/>
      <c r="J354" s="6"/>
      <c r="K354" s="6"/>
      <c r="L354" s="6"/>
      <c r="M354" s="138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138"/>
      <c r="H355" s="6"/>
      <c r="I355" s="6"/>
      <c r="J355" s="6"/>
      <c r="K355" s="6"/>
      <c r="L355" s="6"/>
      <c r="M355" s="138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138"/>
      <c r="H356" s="6"/>
      <c r="I356" s="6"/>
      <c r="J356" s="6"/>
      <c r="K356" s="6"/>
      <c r="L356" s="6"/>
      <c r="M356" s="138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138"/>
      <c r="H357" s="6"/>
      <c r="I357" s="6"/>
      <c r="J357" s="6"/>
      <c r="K357" s="6"/>
      <c r="L357" s="6"/>
      <c r="M357" s="138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138"/>
      <c r="H358" s="6"/>
      <c r="I358" s="6"/>
      <c r="J358" s="6"/>
      <c r="K358" s="6"/>
      <c r="L358" s="6"/>
      <c r="M358" s="138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138"/>
      <c r="H359" s="6"/>
      <c r="I359" s="6"/>
      <c r="J359" s="6"/>
      <c r="K359" s="6"/>
      <c r="L359" s="6"/>
      <c r="M359" s="138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138"/>
      <c r="H360" s="6"/>
      <c r="I360" s="6"/>
      <c r="J360" s="6"/>
      <c r="K360" s="6"/>
      <c r="L360" s="6"/>
      <c r="M360" s="138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138"/>
      <c r="H361" s="6"/>
      <c r="I361" s="6"/>
      <c r="J361" s="6"/>
      <c r="K361" s="6"/>
      <c r="L361" s="6"/>
      <c r="M361" s="138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138"/>
      <c r="H362" s="6"/>
      <c r="I362" s="6"/>
      <c r="J362" s="6"/>
      <c r="K362" s="6"/>
      <c r="L362" s="6"/>
      <c r="M362" s="138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138"/>
      <c r="H363" s="6"/>
      <c r="I363" s="6"/>
      <c r="J363" s="6"/>
      <c r="K363" s="6"/>
      <c r="L363" s="6"/>
      <c r="M363" s="138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138"/>
      <c r="H364" s="6"/>
      <c r="I364" s="6"/>
      <c r="J364" s="6"/>
      <c r="K364" s="6"/>
      <c r="L364" s="6"/>
      <c r="M364" s="138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138"/>
      <c r="H365" s="6"/>
      <c r="I365" s="6"/>
      <c r="J365" s="6"/>
      <c r="K365" s="6"/>
      <c r="L365" s="6"/>
      <c r="M365" s="138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138"/>
      <c r="H366" s="6"/>
      <c r="I366" s="6"/>
      <c r="J366" s="6"/>
      <c r="K366" s="6"/>
      <c r="L366" s="6"/>
      <c r="M366" s="138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138"/>
      <c r="H367" s="6"/>
      <c r="I367" s="6"/>
      <c r="J367" s="6"/>
      <c r="K367" s="6"/>
      <c r="L367" s="6"/>
      <c r="M367" s="138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138"/>
      <c r="H368" s="6"/>
      <c r="I368" s="6"/>
      <c r="J368" s="6"/>
      <c r="K368" s="6"/>
      <c r="L368" s="6"/>
      <c r="M368" s="138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138"/>
      <c r="H369" s="6"/>
      <c r="I369" s="6"/>
      <c r="J369" s="6"/>
      <c r="K369" s="6"/>
      <c r="L369" s="6"/>
      <c r="M369" s="138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138"/>
      <c r="H370" s="6"/>
      <c r="I370" s="6"/>
      <c r="J370" s="6"/>
      <c r="K370" s="6"/>
      <c r="L370" s="6"/>
      <c r="M370" s="138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138"/>
      <c r="H371" s="6"/>
      <c r="I371" s="6"/>
      <c r="J371" s="6"/>
      <c r="K371" s="6"/>
      <c r="L371" s="6"/>
      <c r="M371" s="138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138"/>
      <c r="H372" s="6"/>
      <c r="I372" s="6"/>
      <c r="J372" s="6"/>
      <c r="K372" s="6"/>
      <c r="L372" s="6"/>
      <c r="M372" s="138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138"/>
      <c r="H373" s="6"/>
      <c r="I373" s="6"/>
      <c r="J373" s="6"/>
      <c r="K373" s="6"/>
      <c r="L373" s="6"/>
      <c r="M373" s="138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138"/>
      <c r="H374" s="6"/>
      <c r="I374" s="6"/>
      <c r="J374" s="6"/>
      <c r="K374" s="6"/>
      <c r="L374" s="6"/>
      <c r="M374" s="138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138"/>
      <c r="H375" s="6"/>
      <c r="I375" s="6"/>
      <c r="J375" s="6"/>
      <c r="K375" s="6"/>
      <c r="L375" s="6"/>
      <c r="M375" s="138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138"/>
      <c r="H376" s="6"/>
      <c r="I376" s="6"/>
      <c r="J376" s="6"/>
      <c r="K376" s="6"/>
      <c r="L376" s="6"/>
      <c r="M376" s="138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138"/>
      <c r="H377" s="6"/>
      <c r="I377" s="6"/>
      <c r="J377" s="6"/>
      <c r="K377" s="6"/>
      <c r="L377" s="6"/>
      <c r="M377" s="138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138"/>
      <c r="H378" s="6"/>
      <c r="I378" s="6"/>
      <c r="J378" s="6"/>
      <c r="K378" s="6"/>
      <c r="L378" s="6"/>
      <c r="M378" s="138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138"/>
      <c r="H379" s="6"/>
      <c r="I379" s="6"/>
      <c r="J379" s="6"/>
      <c r="K379" s="6"/>
      <c r="L379" s="6"/>
      <c r="M379" s="138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138"/>
      <c r="H380" s="6"/>
      <c r="I380" s="6"/>
      <c r="J380" s="6"/>
      <c r="K380" s="6"/>
      <c r="L380" s="6"/>
      <c r="M380" s="138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138"/>
      <c r="H381" s="6"/>
      <c r="I381" s="6"/>
      <c r="J381" s="6"/>
      <c r="K381" s="6"/>
      <c r="L381" s="6"/>
      <c r="M381" s="138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138"/>
      <c r="H382" s="6"/>
      <c r="I382" s="6"/>
      <c r="J382" s="6"/>
      <c r="K382" s="6"/>
      <c r="L382" s="6"/>
      <c r="M382" s="138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138"/>
      <c r="H383" s="6"/>
      <c r="I383" s="6"/>
      <c r="J383" s="6"/>
      <c r="K383" s="6"/>
      <c r="L383" s="6"/>
      <c r="M383" s="138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138"/>
      <c r="H384" s="6"/>
      <c r="I384" s="6"/>
      <c r="J384" s="6"/>
      <c r="K384" s="6"/>
      <c r="L384" s="6"/>
      <c r="M384" s="138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138"/>
      <c r="H385" s="6"/>
      <c r="I385" s="6"/>
      <c r="J385" s="6"/>
      <c r="K385" s="6"/>
      <c r="L385" s="6"/>
      <c r="M385" s="138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138"/>
      <c r="H386" s="6"/>
      <c r="I386" s="6"/>
      <c r="J386" s="6"/>
      <c r="K386" s="6"/>
      <c r="L386" s="6"/>
      <c r="M386" s="138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138"/>
      <c r="H387" s="6"/>
      <c r="I387" s="6"/>
      <c r="J387" s="6"/>
      <c r="K387" s="6"/>
      <c r="L387" s="6"/>
      <c r="M387" s="138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138"/>
      <c r="H388" s="6"/>
      <c r="I388" s="6"/>
      <c r="J388" s="6"/>
      <c r="K388" s="6"/>
      <c r="L388" s="6"/>
      <c r="M388" s="138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138"/>
      <c r="H389" s="6"/>
      <c r="I389" s="6"/>
      <c r="J389" s="6"/>
      <c r="K389" s="6"/>
      <c r="L389" s="6"/>
      <c r="M389" s="138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138"/>
      <c r="H390" s="6"/>
      <c r="I390" s="6"/>
      <c r="J390" s="6"/>
      <c r="K390" s="6"/>
      <c r="L390" s="6"/>
      <c r="M390" s="138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138"/>
      <c r="H391" s="6"/>
      <c r="I391" s="6"/>
      <c r="J391" s="6"/>
      <c r="K391" s="6"/>
      <c r="L391" s="6"/>
      <c r="M391" s="138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138"/>
      <c r="H392" s="6"/>
      <c r="I392" s="6"/>
      <c r="J392" s="6"/>
      <c r="K392" s="6"/>
      <c r="L392" s="6"/>
      <c r="M392" s="138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138"/>
      <c r="H393" s="6"/>
      <c r="I393" s="6"/>
      <c r="J393" s="6"/>
      <c r="K393" s="6"/>
      <c r="L393" s="6"/>
      <c r="M393" s="138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138"/>
      <c r="H394" s="6"/>
      <c r="I394" s="6"/>
      <c r="J394" s="6"/>
      <c r="K394" s="6"/>
      <c r="L394" s="6"/>
      <c r="M394" s="138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138"/>
      <c r="H395" s="6"/>
      <c r="I395" s="6"/>
      <c r="J395" s="6"/>
      <c r="K395" s="6"/>
      <c r="L395" s="6"/>
      <c r="M395" s="138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138"/>
      <c r="H396" s="6"/>
      <c r="I396" s="6"/>
      <c r="J396" s="6"/>
      <c r="K396" s="6"/>
      <c r="L396" s="6"/>
      <c r="M396" s="138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138"/>
      <c r="H397" s="6"/>
      <c r="I397" s="6"/>
      <c r="J397" s="6"/>
      <c r="K397" s="6"/>
      <c r="L397" s="6"/>
      <c r="M397" s="138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138"/>
      <c r="H398" s="6"/>
      <c r="I398" s="6"/>
      <c r="J398" s="6"/>
      <c r="K398" s="6"/>
      <c r="L398" s="6"/>
      <c r="M398" s="138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138"/>
      <c r="H399" s="6"/>
      <c r="I399" s="6"/>
      <c r="J399" s="6"/>
      <c r="K399" s="6"/>
      <c r="L399" s="6"/>
      <c r="M399" s="138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138"/>
      <c r="H400" s="6"/>
      <c r="I400" s="6"/>
      <c r="J400" s="6"/>
      <c r="K400" s="6"/>
      <c r="L400" s="6"/>
      <c r="M400" s="138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138"/>
      <c r="H401" s="6"/>
      <c r="I401" s="6"/>
      <c r="J401" s="6"/>
      <c r="K401" s="6"/>
      <c r="L401" s="6"/>
      <c r="M401" s="138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138"/>
      <c r="H402" s="6"/>
      <c r="I402" s="6"/>
      <c r="J402" s="6"/>
      <c r="K402" s="6"/>
      <c r="L402" s="6"/>
      <c r="M402" s="138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138"/>
      <c r="H403" s="6"/>
      <c r="I403" s="6"/>
      <c r="J403" s="6"/>
      <c r="K403" s="6"/>
      <c r="L403" s="6"/>
      <c r="M403" s="138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138"/>
      <c r="H404" s="6"/>
      <c r="I404" s="6"/>
      <c r="J404" s="6"/>
      <c r="K404" s="6"/>
      <c r="L404" s="6"/>
      <c r="M404" s="138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138"/>
      <c r="H405" s="6"/>
      <c r="I405" s="6"/>
      <c r="J405" s="6"/>
      <c r="K405" s="6"/>
      <c r="L405" s="6"/>
      <c r="M405" s="138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138"/>
      <c r="H406" s="6"/>
      <c r="I406" s="6"/>
      <c r="J406" s="6"/>
      <c r="K406" s="6"/>
      <c r="L406" s="6"/>
      <c r="M406" s="138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138"/>
      <c r="H407" s="6"/>
      <c r="I407" s="6"/>
      <c r="J407" s="6"/>
      <c r="K407" s="6"/>
      <c r="L407" s="6"/>
      <c r="M407" s="138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138"/>
      <c r="H408" s="6"/>
      <c r="I408" s="6"/>
      <c r="J408" s="6"/>
      <c r="K408" s="6"/>
      <c r="L408" s="6"/>
      <c r="M408" s="138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138"/>
      <c r="H409" s="6"/>
      <c r="I409" s="6"/>
      <c r="J409" s="6"/>
      <c r="K409" s="6"/>
      <c r="L409" s="6"/>
      <c r="M409" s="138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138"/>
      <c r="H410" s="6"/>
      <c r="I410" s="6"/>
      <c r="J410" s="6"/>
      <c r="K410" s="6"/>
      <c r="L410" s="6"/>
      <c r="M410" s="138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138"/>
      <c r="H411" s="6"/>
      <c r="I411" s="6"/>
      <c r="J411" s="6"/>
      <c r="K411" s="6"/>
      <c r="L411" s="6"/>
      <c r="M411" s="138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138"/>
      <c r="H412" s="6"/>
      <c r="I412" s="6"/>
      <c r="J412" s="6"/>
      <c r="K412" s="6"/>
      <c r="L412" s="6"/>
      <c r="M412" s="138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138"/>
      <c r="H413" s="6"/>
      <c r="I413" s="6"/>
      <c r="J413" s="6"/>
      <c r="K413" s="6"/>
      <c r="L413" s="6"/>
      <c r="M413" s="138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138"/>
      <c r="H414" s="6"/>
      <c r="I414" s="6"/>
      <c r="J414" s="6"/>
      <c r="K414" s="6"/>
      <c r="L414" s="6"/>
      <c r="M414" s="138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138"/>
      <c r="H415" s="6"/>
      <c r="I415" s="6"/>
      <c r="J415" s="6"/>
      <c r="K415" s="6"/>
      <c r="L415" s="6"/>
      <c r="M415" s="138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138"/>
      <c r="H416" s="6"/>
      <c r="I416" s="6"/>
      <c r="J416" s="6"/>
      <c r="K416" s="6"/>
      <c r="L416" s="6"/>
      <c r="M416" s="138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138"/>
      <c r="H417" s="6"/>
      <c r="I417" s="6"/>
      <c r="J417" s="6"/>
      <c r="K417" s="6"/>
      <c r="L417" s="6"/>
      <c r="M417" s="138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138"/>
      <c r="H418" s="6"/>
      <c r="I418" s="6"/>
      <c r="J418" s="6"/>
      <c r="K418" s="6"/>
      <c r="L418" s="6"/>
      <c r="M418" s="138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138"/>
      <c r="H419" s="6"/>
      <c r="I419" s="6"/>
      <c r="J419" s="6"/>
      <c r="K419" s="6"/>
      <c r="L419" s="6"/>
      <c r="M419" s="138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138"/>
      <c r="H420" s="6"/>
      <c r="I420" s="6"/>
      <c r="J420" s="6"/>
      <c r="K420" s="6"/>
      <c r="L420" s="6"/>
      <c r="M420" s="138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138"/>
      <c r="H421" s="6"/>
      <c r="I421" s="6"/>
      <c r="J421" s="6"/>
      <c r="K421" s="6"/>
      <c r="L421" s="6"/>
      <c r="M421" s="138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138"/>
      <c r="H422" s="6"/>
      <c r="I422" s="6"/>
      <c r="J422" s="6"/>
      <c r="K422" s="6"/>
      <c r="L422" s="6"/>
      <c r="M422" s="138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138"/>
      <c r="H423" s="6"/>
      <c r="I423" s="6"/>
      <c r="J423" s="6"/>
      <c r="K423" s="6"/>
      <c r="L423" s="6"/>
      <c r="M423" s="138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138"/>
      <c r="H424" s="6"/>
      <c r="I424" s="6"/>
      <c r="J424" s="6"/>
      <c r="K424" s="6"/>
      <c r="L424" s="6"/>
      <c r="M424" s="138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138"/>
      <c r="H425" s="6"/>
      <c r="I425" s="6"/>
      <c r="J425" s="6"/>
      <c r="K425" s="6"/>
      <c r="L425" s="6"/>
      <c r="M425" s="138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138"/>
      <c r="H426" s="6"/>
      <c r="I426" s="6"/>
      <c r="J426" s="6"/>
      <c r="K426" s="6"/>
      <c r="L426" s="6"/>
      <c r="M426" s="138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138"/>
      <c r="H427" s="6"/>
      <c r="I427" s="6"/>
      <c r="J427" s="6"/>
      <c r="K427" s="6"/>
      <c r="L427" s="6"/>
      <c r="M427" s="138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138"/>
      <c r="H428" s="6"/>
      <c r="I428" s="6"/>
      <c r="J428" s="6"/>
      <c r="K428" s="6"/>
      <c r="L428" s="6"/>
      <c r="M428" s="138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138"/>
      <c r="H429" s="6"/>
      <c r="I429" s="6"/>
      <c r="J429" s="6"/>
      <c r="K429" s="6"/>
      <c r="L429" s="6"/>
      <c r="M429" s="138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138"/>
      <c r="H430" s="6"/>
      <c r="I430" s="6"/>
      <c r="J430" s="6"/>
      <c r="K430" s="6"/>
      <c r="L430" s="6"/>
      <c r="M430" s="138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138"/>
      <c r="H431" s="6"/>
      <c r="I431" s="6"/>
      <c r="J431" s="6"/>
      <c r="K431" s="6"/>
      <c r="L431" s="6"/>
      <c r="M431" s="138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138"/>
      <c r="H432" s="6"/>
      <c r="I432" s="6"/>
      <c r="J432" s="6"/>
      <c r="K432" s="6"/>
      <c r="L432" s="6"/>
      <c r="M432" s="138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138"/>
      <c r="H433" s="6"/>
      <c r="I433" s="6"/>
      <c r="J433" s="6"/>
      <c r="K433" s="6"/>
      <c r="L433" s="6"/>
      <c r="M433" s="138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138"/>
      <c r="H434" s="6"/>
      <c r="I434" s="6"/>
      <c r="J434" s="6"/>
      <c r="K434" s="6"/>
      <c r="L434" s="6"/>
      <c r="M434" s="138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138"/>
      <c r="H435" s="6"/>
      <c r="I435" s="6"/>
      <c r="J435" s="6"/>
      <c r="K435" s="6"/>
      <c r="L435" s="6"/>
      <c r="M435" s="138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138"/>
      <c r="H436" s="6"/>
      <c r="I436" s="6"/>
      <c r="J436" s="6"/>
      <c r="K436" s="6"/>
      <c r="L436" s="6"/>
      <c r="M436" s="138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138"/>
      <c r="H437" s="6"/>
      <c r="I437" s="6"/>
      <c r="J437" s="6"/>
      <c r="K437" s="6"/>
      <c r="L437" s="6"/>
      <c r="M437" s="138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138"/>
      <c r="H438" s="6"/>
      <c r="I438" s="6"/>
      <c r="J438" s="6"/>
      <c r="K438" s="6"/>
      <c r="L438" s="6"/>
      <c r="M438" s="138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138"/>
      <c r="H439" s="6"/>
      <c r="I439" s="6"/>
      <c r="J439" s="6"/>
      <c r="K439" s="6"/>
      <c r="L439" s="6"/>
      <c r="M439" s="138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138"/>
      <c r="H440" s="6"/>
      <c r="I440" s="6"/>
      <c r="J440" s="6"/>
      <c r="K440" s="6"/>
      <c r="L440" s="6"/>
      <c r="M440" s="138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138"/>
      <c r="H441" s="6"/>
      <c r="I441" s="6"/>
      <c r="J441" s="6"/>
      <c r="K441" s="6"/>
      <c r="L441" s="6"/>
      <c r="M441" s="138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138"/>
      <c r="H442" s="6"/>
      <c r="I442" s="6"/>
      <c r="J442" s="6"/>
      <c r="K442" s="6"/>
      <c r="L442" s="6"/>
      <c r="M442" s="138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138"/>
      <c r="H443" s="6"/>
      <c r="I443" s="6"/>
      <c r="J443" s="6"/>
      <c r="K443" s="6"/>
      <c r="L443" s="6"/>
      <c r="M443" s="138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138"/>
      <c r="H444" s="6"/>
      <c r="I444" s="6"/>
      <c r="J444" s="6"/>
      <c r="K444" s="6"/>
      <c r="L444" s="6"/>
      <c r="M444" s="138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138"/>
      <c r="H445" s="6"/>
      <c r="I445" s="6"/>
      <c r="J445" s="6"/>
      <c r="K445" s="6"/>
      <c r="L445" s="6"/>
      <c r="M445" s="138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138"/>
      <c r="H446" s="6"/>
      <c r="I446" s="6"/>
      <c r="J446" s="6"/>
      <c r="K446" s="6"/>
      <c r="L446" s="6"/>
      <c r="M446" s="138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138"/>
      <c r="H447" s="6"/>
      <c r="I447" s="6"/>
      <c r="J447" s="6"/>
      <c r="K447" s="6"/>
      <c r="L447" s="6"/>
      <c r="M447" s="138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138"/>
      <c r="H448" s="6"/>
      <c r="I448" s="6"/>
      <c r="J448" s="6"/>
      <c r="K448" s="6"/>
      <c r="L448" s="6"/>
      <c r="M448" s="138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138"/>
      <c r="H449" s="6"/>
      <c r="I449" s="6"/>
      <c r="J449" s="6"/>
      <c r="K449" s="6"/>
      <c r="L449" s="6"/>
      <c r="M449" s="138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138"/>
      <c r="H450" s="6"/>
      <c r="I450" s="6"/>
      <c r="J450" s="6"/>
      <c r="K450" s="6"/>
      <c r="L450" s="6"/>
      <c r="M450" s="138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138"/>
      <c r="H451" s="6"/>
      <c r="I451" s="6"/>
      <c r="J451" s="6"/>
      <c r="K451" s="6"/>
      <c r="L451" s="6"/>
      <c r="M451" s="138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138"/>
      <c r="H452" s="6"/>
      <c r="I452" s="6"/>
      <c r="J452" s="6"/>
      <c r="K452" s="6"/>
      <c r="L452" s="6"/>
      <c r="M452" s="138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138"/>
      <c r="H453" s="6"/>
      <c r="I453" s="6"/>
      <c r="J453" s="6"/>
      <c r="K453" s="6"/>
      <c r="L453" s="6"/>
      <c r="M453" s="138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138"/>
      <c r="H454" s="6"/>
      <c r="I454" s="6"/>
      <c r="J454" s="6"/>
      <c r="K454" s="6"/>
      <c r="L454" s="6"/>
      <c r="M454" s="138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138"/>
      <c r="H455" s="6"/>
      <c r="I455" s="6"/>
      <c r="J455" s="6"/>
      <c r="K455" s="6"/>
      <c r="L455" s="6"/>
      <c r="M455" s="138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138"/>
      <c r="H456" s="6"/>
      <c r="I456" s="6"/>
      <c r="J456" s="6"/>
      <c r="K456" s="6"/>
      <c r="L456" s="6"/>
      <c r="M456" s="138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138"/>
      <c r="H457" s="6"/>
      <c r="I457" s="6"/>
      <c r="J457" s="6"/>
      <c r="K457" s="6"/>
      <c r="L457" s="6"/>
      <c r="M457" s="138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138"/>
      <c r="H458" s="6"/>
      <c r="I458" s="6"/>
      <c r="J458" s="6"/>
      <c r="K458" s="6"/>
      <c r="L458" s="6"/>
      <c r="M458" s="138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138"/>
      <c r="H459" s="6"/>
      <c r="I459" s="6"/>
      <c r="J459" s="6"/>
      <c r="K459" s="6"/>
      <c r="L459" s="6"/>
      <c r="M459" s="138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138"/>
      <c r="H460" s="6"/>
      <c r="I460" s="6"/>
      <c r="J460" s="6"/>
      <c r="K460" s="6"/>
      <c r="L460" s="6"/>
      <c r="M460" s="138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138"/>
      <c r="H461" s="6"/>
      <c r="I461" s="6"/>
      <c r="J461" s="6"/>
      <c r="K461" s="6"/>
      <c r="L461" s="6"/>
      <c r="M461" s="138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138"/>
      <c r="H462" s="6"/>
      <c r="I462" s="6"/>
      <c r="J462" s="6"/>
      <c r="K462" s="6"/>
      <c r="L462" s="6"/>
      <c r="M462" s="138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138"/>
      <c r="H463" s="6"/>
      <c r="I463" s="6"/>
      <c r="J463" s="6"/>
      <c r="K463" s="6"/>
      <c r="L463" s="6"/>
      <c r="M463" s="138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138"/>
      <c r="H464" s="6"/>
      <c r="I464" s="6"/>
      <c r="J464" s="6"/>
      <c r="K464" s="6"/>
      <c r="L464" s="6"/>
      <c r="M464" s="138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138"/>
      <c r="H465" s="6"/>
      <c r="I465" s="6"/>
      <c r="J465" s="6"/>
      <c r="K465" s="6"/>
      <c r="L465" s="6"/>
      <c r="M465" s="138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138"/>
      <c r="H466" s="6"/>
      <c r="I466" s="6"/>
      <c r="J466" s="6"/>
      <c r="K466" s="6"/>
      <c r="L466" s="6"/>
      <c r="M466" s="138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138"/>
      <c r="H467" s="6"/>
      <c r="I467" s="6"/>
      <c r="J467" s="6"/>
      <c r="K467" s="6"/>
      <c r="L467" s="6"/>
      <c r="M467" s="138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138"/>
      <c r="H468" s="6"/>
      <c r="I468" s="6"/>
      <c r="J468" s="6"/>
      <c r="K468" s="6"/>
      <c r="L468" s="6"/>
      <c r="M468" s="138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138"/>
      <c r="H469" s="6"/>
      <c r="I469" s="6"/>
      <c r="J469" s="6"/>
      <c r="K469" s="6"/>
      <c r="L469" s="6"/>
      <c r="M469" s="138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138"/>
      <c r="H470" s="6"/>
      <c r="I470" s="6"/>
      <c r="J470" s="6"/>
      <c r="K470" s="6"/>
      <c r="L470" s="6"/>
      <c r="M470" s="138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138"/>
      <c r="H471" s="6"/>
      <c r="I471" s="6"/>
      <c r="J471" s="6"/>
      <c r="K471" s="6"/>
      <c r="L471" s="6"/>
      <c r="M471" s="138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138"/>
      <c r="H472" s="6"/>
      <c r="I472" s="6"/>
      <c r="J472" s="6"/>
      <c r="K472" s="6"/>
      <c r="L472" s="6"/>
      <c r="M472" s="138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138"/>
      <c r="H473" s="6"/>
      <c r="I473" s="6"/>
      <c r="J473" s="6"/>
      <c r="K473" s="6"/>
      <c r="L473" s="6"/>
      <c r="M473" s="138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138"/>
      <c r="H474" s="6"/>
      <c r="I474" s="6"/>
      <c r="J474" s="6"/>
      <c r="K474" s="6"/>
      <c r="L474" s="6"/>
      <c r="M474" s="138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138"/>
      <c r="H475" s="6"/>
      <c r="I475" s="6"/>
      <c r="J475" s="6"/>
      <c r="K475" s="6"/>
      <c r="L475" s="6"/>
      <c r="M475" s="138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138"/>
      <c r="H476" s="6"/>
      <c r="I476" s="6"/>
      <c r="J476" s="6"/>
      <c r="K476" s="6"/>
      <c r="L476" s="6"/>
      <c r="M476" s="138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138"/>
      <c r="H477" s="6"/>
      <c r="I477" s="6"/>
      <c r="J477" s="6"/>
      <c r="K477" s="6"/>
      <c r="L477" s="6"/>
      <c r="M477" s="138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138"/>
      <c r="H478" s="6"/>
      <c r="I478" s="6"/>
      <c r="J478" s="6"/>
      <c r="K478" s="6"/>
      <c r="L478" s="6"/>
      <c r="M478" s="138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138"/>
      <c r="H479" s="6"/>
      <c r="I479" s="6"/>
      <c r="J479" s="6"/>
      <c r="K479" s="6"/>
      <c r="L479" s="6"/>
      <c r="M479" s="138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138"/>
      <c r="H480" s="6"/>
      <c r="I480" s="6"/>
      <c r="J480" s="6"/>
      <c r="K480" s="6"/>
      <c r="L480" s="6"/>
      <c r="M480" s="138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138"/>
      <c r="H481" s="6"/>
      <c r="I481" s="6"/>
      <c r="J481" s="6"/>
      <c r="K481" s="6"/>
      <c r="L481" s="6"/>
      <c r="M481" s="138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138"/>
      <c r="H482" s="6"/>
      <c r="I482" s="6"/>
      <c r="J482" s="6"/>
      <c r="K482" s="6"/>
      <c r="L482" s="6"/>
      <c r="M482" s="138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138"/>
      <c r="H483" s="6"/>
      <c r="I483" s="6"/>
      <c r="J483" s="6"/>
      <c r="K483" s="6"/>
      <c r="L483" s="6"/>
      <c r="M483" s="138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138"/>
      <c r="H484" s="6"/>
      <c r="I484" s="6"/>
      <c r="J484" s="6"/>
      <c r="K484" s="6"/>
      <c r="L484" s="6"/>
      <c r="M484" s="138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138"/>
      <c r="H485" s="6"/>
      <c r="I485" s="6"/>
      <c r="J485" s="6"/>
      <c r="K485" s="6"/>
      <c r="L485" s="6"/>
      <c r="M485" s="138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138"/>
      <c r="H486" s="6"/>
      <c r="I486" s="6"/>
      <c r="J486" s="6"/>
      <c r="K486" s="6"/>
      <c r="L486" s="6"/>
      <c r="M486" s="138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138"/>
      <c r="H487" s="6"/>
      <c r="I487" s="6"/>
      <c r="J487" s="6"/>
      <c r="K487" s="6"/>
      <c r="L487" s="6"/>
      <c r="M487" s="138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138"/>
      <c r="H488" s="6"/>
      <c r="I488" s="6"/>
      <c r="J488" s="6"/>
      <c r="K488" s="6"/>
      <c r="L488" s="6"/>
      <c r="M488" s="138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138"/>
      <c r="H489" s="6"/>
      <c r="I489" s="6"/>
      <c r="J489" s="6"/>
      <c r="K489" s="6"/>
      <c r="L489" s="6"/>
      <c r="M489" s="138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138"/>
      <c r="H490" s="6"/>
      <c r="I490" s="6"/>
      <c r="J490" s="6"/>
      <c r="K490" s="6"/>
      <c r="L490" s="6"/>
      <c r="M490" s="138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138"/>
      <c r="H491" s="6"/>
      <c r="I491" s="6"/>
      <c r="J491" s="6"/>
      <c r="K491" s="6"/>
      <c r="L491" s="6"/>
      <c r="M491" s="138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138"/>
      <c r="H492" s="6"/>
      <c r="I492" s="6"/>
      <c r="J492" s="6"/>
      <c r="K492" s="6"/>
      <c r="L492" s="6"/>
      <c r="M492" s="138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138"/>
      <c r="H493" s="6"/>
      <c r="I493" s="6"/>
      <c r="J493" s="6"/>
      <c r="K493" s="6"/>
      <c r="L493" s="6"/>
      <c r="M493" s="138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138"/>
      <c r="H494" s="6"/>
      <c r="I494" s="6"/>
      <c r="J494" s="6"/>
      <c r="K494" s="6"/>
      <c r="L494" s="6"/>
      <c r="M494" s="138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138"/>
      <c r="H495" s="6"/>
      <c r="I495" s="6"/>
      <c r="J495" s="6"/>
      <c r="K495" s="6"/>
      <c r="L495" s="6"/>
      <c r="M495" s="138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138"/>
      <c r="H496" s="6"/>
      <c r="I496" s="6"/>
      <c r="J496" s="6"/>
      <c r="K496" s="6"/>
      <c r="L496" s="6"/>
      <c r="M496" s="138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138"/>
      <c r="H497" s="6"/>
      <c r="I497" s="6"/>
      <c r="J497" s="6"/>
      <c r="K497" s="6"/>
      <c r="L497" s="6"/>
      <c r="M497" s="138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138"/>
      <c r="H498" s="6"/>
      <c r="I498" s="6"/>
      <c r="J498" s="6"/>
      <c r="K498" s="6"/>
      <c r="L498" s="6"/>
      <c r="M498" s="138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138"/>
      <c r="H499" s="6"/>
      <c r="I499" s="6"/>
      <c r="J499" s="6"/>
      <c r="K499" s="6"/>
      <c r="L499" s="6"/>
      <c r="M499" s="138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138"/>
      <c r="H500" s="6"/>
      <c r="I500" s="6"/>
      <c r="J500" s="6"/>
      <c r="K500" s="6"/>
      <c r="L500" s="6"/>
      <c r="M500" s="138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138"/>
      <c r="H501" s="6"/>
      <c r="I501" s="6"/>
      <c r="J501" s="6"/>
      <c r="K501" s="6"/>
      <c r="L501" s="6"/>
      <c r="M501" s="138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138"/>
      <c r="H502" s="6"/>
      <c r="I502" s="6"/>
      <c r="J502" s="6"/>
      <c r="K502" s="6"/>
      <c r="L502" s="6"/>
      <c r="M502" s="138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138"/>
      <c r="H503" s="6"/>
      <c r="I503" s="6"/>
      <c r="J503" s="6"/>
      <c r="K503" s="6"/>
      <c r="L503" s="6"/>
      <c r="M503" s="138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138"/>
      <c r="H504" s="6"/>
      <c r="I504" s="6"/>
      <c r="J504" s="6"/>
      <c r="K504" s="6"/>
      <c r="L504" s="6"/>
      <c r="M504" s="138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138"/>
      <c r="H505" s="6"/>
      <c r="I505" s="6"/>
      <c r="J505" s="6"/>
      <c r="K505" s="6"/>
      <c r="L505" s="6"/>
      <c r="M505" s="138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138"/>
      <c r="H506" s="6"/>
      <c r="I506" s="6"/>
      <c r="J506" s="6"/>
      <c r="K506" s="6"/>
      <c r="L506" s="6"/>
      <c r="M506" s="138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138"/>
      <c r="H507" s="6"/>
      <c r="I507" s="6"/>
      <c r="J507" s="6"/>
      <c r="K507" s="6"/>
      <c r="L507" s="6"/>
      <c r="M507" s="138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138"/>
      <c r="H508" s="6"/>
      <c r="I508" s="6"/>
      <c r="J508" s="6"/>
      <c r="K508" s="6"/>
      <c r="L508" s="6"/>
      <c r="M508" s="138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138"/>
      <c r="H509" s="6"/>
      <c r="I509" s="6"/>
      <c r="J509" s="6"/>
      <c r="K509" s="6"/>
      <c r="L509" s="6"/>
      <c r="M509" s="138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138"/>
      <c r="H510" s="6"/>
      <c r="I510" s="6"/>
      <c r="J510" s="6"/>
      <c r="K510" s="6"/>
      <c r="L510" s="6"/>
      <c r="M510" s="138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138"/>
      <c r="H511" s="6"/>
      <c r="I511" s="6"/>
      <c r="J511" s="6"/>
      <c r="K511" s="6"/>
      <c r="L511" s="6"/>
      <c r="M511" s="138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138"/>
      <c r="H512" s="6"/>
      <c r="I512" s="6"/>
      <c r="J512" s="6"/>
      <c r="K512" s="6"/>
      <c r="L512" s="6"/>
      <c r="M512" s="138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138"/>
      <c r="H513" s="6"/>
      <c r="I513" s="6"/>
      <c r="J513" s="6"/>
      <c r="K513" s="6"/>
      <c r="L513" s="6"/>
      <c r="M513" s="138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138"/>
      <c r="H514" s="6"/>
      <c r="I514" s="6"/>
      <c r="J514" s="6"/>
      <c r="K514" s="6"/>
      <c r="L514" s="6"/>
      <c r="M514" s="138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138"/>
      <c r="H515" s="6"/>
      <c r="I515" s="6"/>
      <c r="J515" s="6"/>
      <c r="K515" s="6"/>
      <c r="L515" s="6"/>
      <c r="M515" s="138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138"/>
      <c r="H516" s="6"/>
      <c r="I516" s="6"/>
      <c r="J516" s="6"/>
      <c r="K516" s="6"/>
      <c r="L516" s="6"/>
      <c r="M516" s="138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138"/>
      <c r="H517" s="6"/>
      <c r="I517" s="6"/>
      <c r="J517" s="6"/>
      <c r="K517" s="6"/>
      <c r="L517" s="6"/>
      <c r="M517" s="138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138"/>
      <c r="H518" s="6"/>
      <c r="I518" s="6"/>
      <c r="J518" s="6"/>
      <c r="K518" s="6"/>
      <c r="L518" s="6"/>
      <c r="M518" s="138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138"/>
      <c r="H519" s="6"/>
      <c r="I519" s="6"/>
      <c r="J519" s="6"/>
      <c r="K519" s="6"/>
      <c r="L519" s="6"/>
      <c r="M519" s="138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138"/>
      <c r="H520" s="6"/>
      <c r="I520" s="6"/>
      <c r="J520" s="6"/>
      <c r="K520" s="6"/>
      <c r="L520" s="6"/>
      <c r="M520" s="138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138"/>
      <c r="H521" s="6"/>
      <c r="I521" s="6"/>
      <c r="J521" s="6"/>
      <c r="K521" s="6"/>
      <c r="L521" s="6"/>
      <c r="M521" s="138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138"/>
      <c r="H522" s="6"/>
      <c r="I522" s="6"/>
      <c r="J522" s="6"/>
      <c r="K522" s="6"/>
      <c r="L522" s="6"/>
      <c r="M522" s="138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138"/>
      <c r="H523" s="6"/>
      <c r="I523" s="6"/>
      <c r="J523" s="6"/>
      <c r="K523" s="6"/>
      <c r="L523" s="6"/>
      <c r="M523" s="138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138"/>
      <c r="H524" s="6"/>
      <c r="I524" s="6"/>
      <c r="J524" s="6"/>
      <c r="K524" s="6"/>
      <c r="L524" s="6"/>
      <c r="M524" s="138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138"/>
      <c r="H525" s="6"/>
      <c r="I525" s="6"/>
      <c r="J525" s="6"/>
      <c r="K525" s="6"/>
      <c r="L525" s="6"/>
      <c r="M525" s="138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138"/>
      <c r="H526" s="6"/>
      <c r="I526" s="6"/>
      <c r="J526" s="6"/>
      <c r="K526" s="6"/>
      <c r="L526" s="6"/>
      <c r="M526" s="138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138"/>
      <c r="H527" s="6"/>
      <c r="I527" s="6"/>
      <c r="J527" s="6"/>
      <c r="K527" s="6"/>
      <c r="L527" s="6"/>
      <c r="M527" s="138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138"/>
      <c r="H528" s="6"/>
      <c r="I528" s="6"/>
      <c r="J528" s="6"/>
      <c r="K528" s="6"/>
      <c r="L528" s="6"/>
      <c r="M528" s="138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138"/>
      <c r="H529" s="6"/>
      <c r="I529" s="6"/>
      <c r="J529" s="6"/>
      <c r="K529" s="6"/>
      <c r="L529" s="6"/>
      <c r="M529" s="138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138"/>
      <c r="H530" s="6"/>
      <c r="I530" s="6"/>
      <c r="J530" s="6"/>
      <c r="K530" s="6"/>
      <c r="L530" s="6"/>
      <c r="M530" s="138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138"/>
      <c r="H531" s="6"/>
      <c r="I531" s="6"/>
      <c r="J531" s="6"/>
      <c r="K531" s="6"/>
      <c r="L531" s="6"/>
      <c r="M531" s="138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138"/>
      <c r="H532" s="6"/>
      <c r="I532" s="6"/>
      <c r="J532" s="6"/>
      <c r="K532" s="6"/>
      <c r="L532" s="6"/>
      <c r="M532" s="138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138"/>
      <c r="H533" s="6"/>
      <c r="I533" s="6"/>
      <c r="J533" s="6"/>
      <c r="K533" s="6"/>
      <c r="L533" s="6"/>
      <c r="M533" s="138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138"/>
      <c r="H534" s="6"/>
      <c r="I534" s="6"/>
      <c r="J534" s="6"/>
      <c r="K534" s="6"/>
      <c r="L534" s="6"/>
      <c r="M534" s="138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138"/>
      <c r="H535" s="6"/>
      <c r="I535" s="6"/>
      <c r="J535" s="6"/>
      <c r="K535" s="6"/>
      <c r="L535" s="6"/>
      <c r="M535" s="138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138"/>
      <c r="H536" s="6"/>
      <c r="I536" s="6"/>
      <c r="J536" s="6"/>
      <c r="K536" s="6"/>
      <c r="L536" s="6"/>
      <c r="M536" s="138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138"/>
      <c r="H537" s="6"/>
      <c r="I537" s="6"/>
      <c r="J537" s="6"/>
      <c r="K537" s="6"/>
      <c r="L537" s="6"/>
      <c r="M537" s="138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138"/>
      <c r="H538" s="6"/>
      <c r="I538" s="6"/>
      <c r="J538" s="6"/>
      <c r="K538" s="6"/>
      <c r="L538" s="6"/>
      <c r="M538" s="138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138"/>
      <c r="H539" s="6"/>
      <c r="I539" s="6"/>
      <c r="J539" s="6"/>
      <c r="K539" s="6"/>
      <c r="L539" s="6"/>
      <c r="M539" s="138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138"/>
      <c r="H540" s="6"/>
      <c r="I540" s="6"/>
      <c r="J540" s="6"/>
      <c r="K540" s="6"/>
      <c r="L540" s="6"/>
      <c r="M540" s="138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138"/>
      <c r="H541" s="6"/>
      <c r="I541" s="6"/>
      <c r="J541" s="6"/>
      <c r="K541" s="6"/>
      <c r="L541" s="6"/>
      <c r="M541" s="138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138"/>
      <c r="H542" s="6"/>
      <c r="I542" s="6"/>
      <c r="J542" s="6"/>
      <c r="K542" s="6"/>
      <c r="L542" s="6"/>
      <c r="M542" s="138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138"/>
      <c r="H543" s="6"/>
      <c r="I543" s="6"/>
      <c r="J543" s="6"/>
      <c r="K543" s="6"/>
      <c r="L543" s="6"/>
      <c r="M543" s="138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138"/>
      <c r="H544" s="6"/>
      <c r="I544" s="6"/>
      <c r="J544" s="6"/>
      <c r="K544" s="6"/>
      <c r="L544" s="6"/>
      <c r="M544" s="138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138"/>
      <c r="H545" s="6"/>
      <c r="I545" s="6"/>
      <c r="J545" s="6"/>
      <c r="K545" s="6"/>
      <c r="L545" s="6"/>
      <c r="M545" s="138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138"/>
      <c r="H546" s="6"/>
      <c r="I546" s="6"/>
      <c r="J546" s="6"/>
      <c r="K546" s="6"/>
      <c r="L546" s="6"/>
      <c r="M546" s="138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138"/>
      <c r="H547" s="6"/>
      <c r="I547" s="6"/>
      <c r="J547" s="6"/>
      <c r="K547" s="6"/>
      <c r="L547" s="6"/>
      <c r="M547" s="138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138"/>
      <c r="H548" s="6"/>
      <c r="I548" s="6"/>
      <c r="J548" s="6"/>
      <c r="K548" s="6"/>
      <c r="L548" s="6"/>
      <c r="M548" s="138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138"/>
      <c r="H549" s="6"/>
      <c r="I549" s="6"/>
      <c r="J549" s="6"/>
      <c r="K549" s="6"/>
      <c r="L549" s="6"/>
      <c r="M549" s="138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138"/>
      <c r="H550" s="6"/>
      <c r="I550" s="6"/>
      <c r="J550" s="6"/>
      <c r="K550" s="6"/>
      <c r="L550" s="6"/>
      <c r="M550" s="138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138"/>
      <c r="H551" s="6"/>
      <c r="I551" s="6"/>
      <c r="J551" s="6"/>
      <c r="K551" s="6"/>
      <c r="L551" s="6"/>
      <c r="M551" s="138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138"/>
      <c r="H552" s="6"/>
      <c r="I552" s="6"/>
      <c r="J552" s="6"/>
      <c r="K552" s="6"/>
      <c r="L552" s="6"/>
      <c r="M552" s="138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138"/>
      <c r="H553" s="6"/>
      <c r="I553" s="6"/>
      <c r="J553" s="6"/>
      <c r="K553" s="6"/>
      <c r="L553" s="6"/>
      <c r="M553" s="138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138"/>
      <c r="H554" s="6"/>
      <c r="I554" s="6"/>
      <c r="J554" s="6"/>
      <c r="K554" s="6"/>
      <c r="L554" s="6"/>
      <c r="M554" s="138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138"/>
      <c r="H555" s="6"/>
      <c r="I555" s="6"/>
      <c r="J555" s="6"/>
      <c r="K555" s="6"/>
      <c r="L555" s="6"/>
      <c r="M555" s="138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138"/>
      <c r="H556" s="6"/>
      <c r="I556" s="6"/>
      <c r="J556" s="6"/>
      <c r="K556" s="6"/>
      <c r="L556" s="6"/>
      <c r="M556" s="138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138"/>
      <c r="H557" s="6"/>
      <c r="I557" s="6"/>
      <c r="J557" s="6"/>
      <c r="K557" s="6"/>
      <c r="L557" s="6"/>
      <c r="M557" s="138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138"/>
      <c r="H558" s="6"/>
      <c r="I558" s="6"/>
      <c r="J558" s="6"/>
      <c r="K558" s="6"/>
      <c r="L558" s="6"/>
      <c r="M558" s="138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138"/>
      <c r="H559" s="6"/>
      <c r="I559" s="6"/>
      <c r="J559" s="6"/>
      <c r="K559" s="6"/>
      <c r="L559" s="6"/>
      <c r="M559" s="138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138"/>
      <c r="H560" s="6"/>
      <c r="I560" s="6"/>
      <c r="J560" s="6"/>
      <c r="K560" s="6"/>
      <c r="L560" s="6"/>
      <c r="M560" s="138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138"/>
      <c r="H561" s="6"/>
      <c r="I561" s="6"/>
      <c r="J561" s="6"/>
      <c r="K561" s="6"/>
      <c r="L561" s="6"/>
      <c r="M561" s="138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138"/>
      <c r="H562" s="6"/>
      <c r="I562" s="6"/>
      <c r="J562" s="6"/>
      <c r="K562" s="6"/>
      <c r="L562" s="6"/>
      <c r="M562" s="138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138"/>
      <c r="H563" s="6"/>
      <c r="I563" s="6"/>
      <c r="J563" s="6"/>
      <c r="K563" s="6"/>
      <c r="L563" s="6"/>
      <c r="M563" s="138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138"/>
      <c r="H564" s="6"/>
      <c r="I564" s="6"/>
      <c r="J564" s="6"/>
      <c r="K564" s="6"/>
      <c r="L564" s="6"/>
      <c r="M564" s="138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138"/>
      <c r="H565" s="6"/>
      <c r="I565" s="6"/>
      <c r="J565" s="6"/>
      <c r="K565" s="6"/>
      <c r="L565" s="6"/>
      <c r="M565" s="138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138"/>
      <c r="H566" s="6"/>
      <c r="I566" s="6"/>
      <c r="J566" s="6"/>
      <c r="K566" s="6"/>
      <c r="L566" s="6"/>
      <c r="M566" s="138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138"/>
      <c r="H567" s="6"/>
      <c r="I567" s="6"/>
      <c r="J567" s="6"/>
      <c r="K567" s="6"/>
      <c r="L567" s="6"/>
      <c r="M567" s="138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138"/>
      <c r="H568" s="6"/>
      <c r="I568" s="6"/>
      <c r="J568" s="6"/>
      <c r="K568" s="6"/>
      <c r="L568" s="6"/>
      <c r="M568" s="138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138"/>
      <c r="H569" s="6"/>
      <c r="I569" s="6"/>
      <c r="J569" s="6"/>
      <c r="K569" s="6"/>
      <c r="L569" s="6"/>
      <c r="M569" s="138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138"/>
      <c r="H570" s="6"/>
      <c r="I570" s="6"/>
      <c r="J570" s="6"/>
      <c r="K570" s="6"/>
      <c r="L570" s="6"/>
      <c r="M570" s="138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138"/>
      <c r="H571" s="6"/>
      <c r="I571" s="6"/>
      <c r="J571" s="6"/>
      <c r="K571" s="6"/>
      <c r="L571" s="6"/>
      <c r="M571" s="138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138"/>
      <c r="H572" s="6"/>
      <c r="I572" s="6"/>
      <c r="J572" s="6"/>
      <c r="K572" s="6"/>
      <c r="L572" s="6"/>
      <c r="M572" s="138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138"/>
      <c r="H573" s="6"/>
      <c r="I573" s="6"/>
      <c r="J573" s="6"/>
      <c r="K573" s="6"/>
      <c r="L573" s="6"/>
      <c r="M573" s="138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138"/>
      <c r="H574" s="6"/>
      <c r="I574" s="6"/>
      <c r="J574" s="6"/>
      <c r="K574" s="6"/>
      <c r="L574" s="6"/>
      <c r="M574" s="138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138"/>
      <c r="H575" s="6"/>
      <c r="I575" s="6"/>
      <c r="J575" s="6"/>
      <c r="K575" s="6"/>
      <c r="L575" s="6"/>
      <c r="M575" s="138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138"/>
      <c r="H576" s="6"/>
      <c r="I576" s="6"/>
      <c r="J576" s="6"/>
      <c r="K576" s="6"/>
      <c r="L576" s="6"/>
      <c r="M576" s="138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138"/>
      <c r="H577" s="6"/>
      <c r="I577" s="6"/>
      <c r="J577" s="6"/>
      <c r="K577" s="6"/>
      <c r="L577" s="6"/>
      <c r="M577" s="138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138"/>
      <c r="H578" s="6"/>
      <c r="I578" s="6"/>
      <c r="J578" s="6"/>
      <c r="K578" s="6"/>
      <c r="L578" s="6"/>
      <c r="M578" s="138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138"/>
      <c r="H579" s="6"/>
      <c r="I579" s="6"/>
      <c r="J579" s="6"/>
      <c r="K579" s="6"/>
      <c r="L579" s="6"/>
      <c r="M579" s="138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138"/>
      <c r="H580" s="6"/>
      <c r="I580" s="6"/>
      <c r="J580" s="6"/>
      <c r="K580" s="6"/>
      <c r="L580" s="6"/>
      <c r="M580" s="138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138"/>
      <c r="H581" s="6"/>
      <c r="I581" s="6"/>
      <c r="J581" s="6"/>
      <c r="K581" s="6"/>
      <c r="L581" s="6"/>
      <c r="M581" s="138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138"/>
      <c r="H582" s="6"/>
      <c r="I582" s="6"/>
      <c r="J582" s="6"/>
      <c r="K582" s="6"/>
      <c r="L582" s="6"/>
      <c r="M582" s="138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138"/>
      <c r="H583" s="6"/>
      <c r="I583" s="6"/>
      <c r="J583" s="6"/>
      <c r="K583" s="6"/>
      <c r="L583" s="6"/>
      <c r="M583" s="138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138"/>
      <c r="H584" s="6"/>
      <c r="I584" s="6"/>
      <c r="J584" s="6"/>
      <c r="K584" s="6"/>
      <c r="L584" s="6"/>
      <c r="M584" s="138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138"/>
      <c r="H585" s="6"/>
      <c r="I585" s="6"/>
      <c r="J585" s="6"/>
      <c r="K585" s="6"/>
      <c r="L585" s="6"/>
      <c r="M585" s="138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138"/>
      <c r="H586" s="6"/>
      <c r="I586" s="6"/>
      <c r="J586" s="6"/>
      <c r="K586" s="6"/>
      <c r="L586" s="6"/>
      <c r="M586" s="138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138"/>
      <c r="H587" s="6"/>
      <c r="I587" s="6"/>
      <c r="J587" s="6"/>
      <c r="K587" s="6"/>
      <c r="L587" s="6"/>
      <c r="M587" s="138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138"/>
      <c r="H588" s="6"/>
      <c r="I588" s="6"/>
      <c r="J588" s="6"/>
      <c r="K588" s="6"/>
      <c r="L588" s="6"/>
      <c r="M588" s="138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138"/>
      <c r="H589" s="6"/>
      <c r="I589" s="6"/>
      <c r="J589" s="6"/>
      <c r="K589" s="6"/>
      <c r="L589" s="6"/>
      <c r="M589" s="138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138"/>
      <c r="H590" s="6"/>
      <c r="I590" s="6"/>
      <c r="J590" s="6"/>
      <c r="K590" s="6"/>
      <c r="L590" s="6"/>
      <c r="M590" s="138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138"/>
      <c r="H591" s="6"/>
      <c r="I591" s="6"/>
      <c r="J591" s="6"/>
      <c r="K591" s="6"/>
      <c r="L591" s="6"/>
      <c r="M591" s="138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138"/>
      <c r="H592" s="6"/>
      <c r="I592" s="6"/>
      <c r="J592" s="6"/>
      <c r="K592" s="6"/>
      <c r="L592" s="6"/>
      <c r="M592" s="138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138"/>
      <c r="H593" s="6"/>
      <c r="I593" s="6"/>
      <c r="J593" s="6"/>
      <c r="K593" s="6"/>
      <c r="L593" s="6"/>
      <c r="M593" s="138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138"/>
      <c r="H594" s="6"/>
      <c r="I594" s="6"/>
      <c r="J594" s="6"/>
      <c r="K594" s="6"/>
      <c r="L594" s="6"/>
      <c r="M594" s="138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138"/>
      <c r="H595" s="6"/>
      <c r="I595" s="6"/>
      <c r="J595" s="6"/>
      <c r="K595" s="6"/>
      <c r="L595" s="6"/>
      <c r="M595" s="138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138"/>
      <c r="H596" s="6"/>
      <c r="I596" s="6"/>
      <c r="J596" s="6"/>
      <c r="K596" s="6"/>
      <c r="L596" s="6"/>
      <c r="M596" s="138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138"/>
      <c r="H597" s="6"/>
      <c r="I597" s="6"/>
      <c r="J597" s="6"/>
      <c r="K597" s="6"/>
      <c r="L597" s="6"/>
      <c r="M597" s="138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138"/>
      <c r="H598" s="6"/>
      <c r="I598" s="6"/>
      <c r="J598" s="6"/>
      <c r="K598" s="6"/>
      <c r="L598" s="6"/>
      <c r="M598" s="138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138"/>
      <c r="H599" s="6"/>
      <c r="I599" s="6"/>
      <c r="J599" s="6"/>
      <c r="K599" s="6"/>
      <c r="L599" s="6"/>
      <c r="M599" s="138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138"/>
      <c r="H600" s="6"/>
      <c r="I600" s="6"/>
      <c r="J600" s="6"/>
      <c r="K600" s="6"/>
      <c r="L600" s="6"/>
      <c r="M600" s="138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138"/>
      <c r="H601" s="6"/>
      <c r="I601" s="6"/>
      <c r="J601" s="6"/>
      <c r="K601" s="6"/>
      <c r="L601" s="6"/>
      <c r="M601" s="138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138"/>
      <c r="H602" s="6"/>
      <c r="I602" s="6"/>
      <c r="J602" s="6"/>
      <c r="K602" s="6"/>
      <c r="L602" s="6"/>
      <c r="M602" s="138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138"/>
      <c r="H603" s="6"/>
      <c r="I603" s="6"/>
      <c r="J603" s="6"/>
      <c r="K603" s="6"/>
      <c r="L603" s="6"/>
      <c r="M603" s="138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138"/>
      <c r="H604" s="6"/>
      <c r="I604" s="6"/>
      <c r="J604" s="6"/>
      <c r="K604" s="6"/>
      <c r="L604" s="6"/>
      <c r="M604" s="138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138"/>
      <c r="H605" s="6"/>
      <c r="I605" s="6"/>
      <c r="J605" s="6"/>
      <c r="K605" s="6"/>
      <c r="L605" s="6"/>
      <c r="M605" s="138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138"/>
      <c r="H606" s="6"/>
      <c r="I606" s="6"/>
      <c r="J606" s="6"/>
      <c r="K606" s="6"/>
      <c r="L606" s="6"/>
      <c r="M606" s="138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138"/>
      <c r="H607" s="6"/>
      <c r="I607" s="6"/>
      <c r="J607" s="6"/>
      <c r="K607" s="6"/>
      <c r="L607" s="6"/>
      <c r="M607" s="138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138"/>
      <c r="H608" s="6"/>
      <c r="I608" s="6"/>
      <c r="J608" s="6"/>
      <c r="K608" s="6"/>
      <c r="L608" s="6"/>
      <c r="M608" s="138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138"/>
      <c r="H609" s="6"/>
      <c r="I609" s="6"/>
      <c r="J609" s="6"/>
      <c r="K609" s="6"/>
      <c r="L609" s="6"/>
      <c r="M609" s="138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138"/>
      <c r="H610" s="6"/>
      <c r="I610" s="6"/>
      <c r="J610" s="6"/>
      <c r="K610" s="6"/>
      <c r="L610" s="6"/>
      <c r="M610" s="138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138"/>
      <c r="H611" s="6"/>
      <c r="I611" s="6"/>
      <c r="J611" s="6"/>
      <c r="K611" s="6"/>
      <c r="L611" s="6"/>
      <c r="M611" s="138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138"/>
      <c r="H612" s="6"/>
      <c r="I612" s="6"/>
      <c r="J612" s="6"/>
      <c r="K612" s="6"/>
      <c r="L612" s="6"/>
      <c r="M612" s="138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138"/>
      <c r="H613" s="6"/>
      <c r="I613" s="6"/>
      <c r="J613" s="6"/>
      <c r="K613" s="6"/>
      <c r="L613" s="6"/>
      <c r="M613" s="138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138"/>
      <c r="H614" s="6"/>
      <c r="I614" s="6"/>
      <c r="J614" s="6"/>
      <c r="K614" s="6"/>
      <c r="L614" s="6"/>
      <c r="M614" s="138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138"/>
      <c r="H615" s="6"/>
      <c r="I615" s="6"/>
      <c r="J615" s="6"/>
      <c r="K615" s="6"/>
      <c r="L615" s="6"/>
      <c r="M615" s="138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138"/>
      <c r="H616" s="6"/>
      <c r="I616" s="6"/>
      <c r="J616" s="6"/>
      <c r="K616" s="6"/>
      <c r="L616" s="6"/>
      <c r="M616" s="138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138"/>
      <c r="H617" s="6"/>
      <c r="I617" s="6"/>
      <c r="J617" s="6"/>
      <c r="K617" s="6"/>
      <c r="L617" s="6"/>
      <c r="M617" s="138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138"/>
      <c r="H618" s="6"/>
      <c r="I618" s="6"/>
      <c r="J618" s="6"/>
      <c r="K618" s="6"/>
      <c r="L618" s="6"/>
      <c r="M618" s="138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138"/>
      <c r="H619" s="6"/>
      <c r="I619" s="6"/>
      <c r="J619" s="6"/>
      <c r="K619" s="6"/>
      <c r="L619" s="6"/>
      <c r="M619" s="138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138"/>
      <c r="H620" s="6"/>
      <c r="I620" s="6"/>
      <c r="J620" s="6"/>
      <c r="K620" s="6"/>
      <c r="L620" s="6"/>
      <c r="M620" s="138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138"/>
      <c r="H621" s="6"/>
      <c r="I621" s="6"/>
      <c r="J621" s="6"/>
      <c r="K621" s="6"/>
      <c r="L621" s="6"/>
      <c r="M621" s="138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138"/>
      <c r="H622" s="6"/>
      <c r="I622" s="6"/>
      <c r="J622" s="6"/>
      <c r="K622" s="6"/>
      <c r="L622" s="6"/>
      <c r="M622" s="138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138"/>
      <c r="H623" s="6"/>
      <c r="I623" s="6"/>
      <c r="J623" s="6"/>
      <c r="K623" s="6"/>
      <c r="L623" s="6"/>
      <c r="M623" s="138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138"/>
      <c r="H624" s="6"/>
      <c r="I624" s="6"/>
      <c r="J624" s="6"/>
      <c r="K624" s="6"/>
      <c r="L624" s="6"/>
      <c r="M624" s="138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138"/>
      <c r="H625" s="6"/>
      <c r="I625" s="6"/>
      <c r="J625" s="6"/>
      <c r="K625" s="6"/>
      <c r="L625" s="6"/>
      <c r="M625" s="138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138"/>
      <c r="H626" s="6"/>
      <c r="I626" s="6"/>
      <c r="J626" s="6"/>
      <c r="K626" s="6"/>
      <c r="L626" s="6"/>
      <c r="M626" s="138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138"/>
      <c r="H627" s="6"/>
      <c r="I627" s="6"/>
      <c r="J627" s="6"/>
      <c r="K627" s="6"/>
      <c r="L627" s="6"/>
      <c r="M627" s="138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138"/>
      <c r="H628" s="6"/>
      <c r="I628" s="6"/>
      <c r="J628" s="6"/>
      <c r="K628" s="6"/>
      <c r="L628" s="6"/>
      <c r="M628" s="138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138"/>
      <c r="H629" s="6"/>
      <c r="I629" s="6"/>
      <c r="J629" s="6"/>
      <c r="K629" s="6"/>
      <c r="L629" s="6"/>
      <c r="M629" s="138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138"/>
      <c r="H630" s="6"/>
      <c r="I630" s="6"/>
      <c r="J630" s="6"/>
      <c r="K630" s="6"/>
      <c r="L630" s="6"/>
      <c r="M630" s="138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138"/>
      <c r="H631" s="6"/>
      <c r="I631" s="6"/>
      <c r="J631" s="6"/>
      <c r="K631" s="6"/>
      <c r="L631" s="6"/>
      <c r="M631" s="138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138"/>
      <c r="H632" s="6"/>
      <c r="I632" s="6"/>
      <c r="J632" s="6"/>
      <c r="K632" s="6"/>
      <c r="L632" s="6"/>
      <c r="M632" s="138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138"/>
      <c r="H633" s="6"/>
      <c r="I633" s="6"/>
      <c r="J633" s="6"/>
      <c r="K633" s="6"/>
      <c r="L633" s="6"/>
      <c r="M633" s="138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138"/>
      <c r="H634" s="6"/>
      <c r="I634" s="6"/>
      <c r="J634" s="6"/>
      <c r="K634" s="6"/>
      <c r="L634" s="6"/>
      <c r="M634" s="138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138"/>
      <c r="H635" s="6"/>
      <c r="I635" s="6"/>
      <c r="J635" s="6"/>
      <c r="K635" s="6"/>
      <c r="L635" s="6"/>
      <c r="M635" s="138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138"/>
      <c r="H636" s="6"/>
      <c r="I636" s="6"/>
      <c r="J636" s="6"/>
      <c r="K636" s="6"/>
      <c r="L636" s="6"/>
      <c r="M636" s="138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138"/>
      <c r="H637" s="6"/>
      <c r="I637" s="6"/>
      <c r="J637" s="6"/>
      <c r="K637" s="6"/>
      <c r="L637" s="6"/>
      <c r="M637" s="138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138"/>
      <c r="H638" s="6"/>
      <c r="I638" s="6"/>
      <c r="J638" s="6"/>
      <c r="K638" s="6"/>
      <c r="L638" s="6"/>
      <c r="M638" s="138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138"/>
      <c r="H639" s="6"/>
      <c r="I639" s="6"/>
      <c r="J639" s="6"/>
      <c r="K639" s="6"/>
      <c r="L639" s="6"/>
      <c r="M639" s="138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138"/>
      <c r="H640" s="6"/>
      <c r="I640" s="6"/>
      <c r="J640" s="6"/>
      <c r="K640" s="6"/>
      <c r="L640" s="6"/>
      <c r="M640" s="138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138"/>
      <c r="H641" s="6"/>
      <c r="I641" s="6"/>
      <c r="J641" s="6"/>
      <c r="K641" s="6"/>
      <c r="L641" s="6"/>
      <c r="M641" s="138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138"/>
      <c r="H642" s="6"/>
      <c r="I642" s="6"/>
      <c r="J642" s="6"/>
      <c r="K642" s="6"/>
      <c r="L642" s="6"/>
      <c r="M642" s="138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138"/>
      <c r="H643" s="6"/>
      <c r="I643" s="6"/>
      <c r="J643" s="6"/>
      <c r="K643" s="6"/>
      <c r="L643" s="6"/>
      <c r="M643" s="138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138"/>
      <c r="H644" s="6"/>
      <c r="I644" s="6"/>
      <c r="J644" s="6"/>
      <c r="K644" s="6"/>
      <c r="L644" s="6"/>
      <c r="M644" s="138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138"/>
      <c r="H645" s="6"/>
      <c r="I645" s="6"/>
      <c r="J645" s="6"/>
      <c r="K645" s="6"/>
      <c r="L645" s="6"/>
      <c r="M645" s="138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138"/>
      <c r="H646" s="6"/>
      <c r="I646" s="6"/>
      <c r="J646" s="6"/>
      <c r="K646" s="6"/>
      <c r="L646" s="6"/>
      <c r="M646" s="138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138"/>
      <c r="H647" s="6"/>
      <c r="I647" s="6"/>
      <c r="J647" s="6"/>
      <c r="K647" s="6"/>
      <c r="L647" s="6"/>
      <c r="M647" s="138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138"/>
      <c r="H648" s="6"/>
      <c r="I648" s="6"/>
      <c r="J648" s="6"/>
      <c r="K648" s="6"/>
      <c r="L648" s="6"/>
      <c r="M648" s="138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138"/>
      <c r="H649" s="6"/>
      <c r="I649" s="6"/>
      <c r="J649" s="6"/>
      <c r="K649" s="6"/>
      <c r="L649" s="6"/>
      <c r="M649" s="138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138"/>
      <c r="H650" s="6"/>
      <c r="I650" s="6"/>
      <c r="J650" s="6"/>
      <c r="K650" s="6"/>
      <c r="L650" s="6"/>
      <c r="M650" s="138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138"/>
      <c r="H651" s="6"/>
      <c r="I651" s="6"/>
      <c r="J651" s="6"/>
      <c r="K651" s="6"/>
      <c r="L651" s="6"/>
      <c r="M651" s="138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138"/>
      <c r="H652" s="6"/>
      <c r="I652" s="6"/>
      <c r="J652" s="6"/>
      <c r="K652" s="6"/>
      <c r="L652" s="6"/>
      <c r="M652" s="138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138"/>
      <c r="H653" s="6"/>
      <c r="I653" s="6"/>
      <c r="J653" s="6"/>
      <c r="K653" s="6"/>
      <c r="L653" s="6"/>
      <c r="M653" s="138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138"/>
      <c r="H654" s="6"/>
      <c r="I654" s="6"/>
      <c r="J654" s="6"/>
      <c r="K654" s="6"/>
      <c r="L654" s="6"/>
      <c r="M654" s="138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138"/>
      <c r="H655" s="6"/>
      <c r="I655" s="6"/>
      <c r="J655" s="6"/>
      <c r="K655" s="6"/>
      <c r="L655" s="6"/>
      <c r="M655" s="138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138"/>
      <c r="H656" s="6"/>
      <c r="I656" s="6"/>
      <c r="J656" s="6"/>
      <c r="K656" s="6"/>
      <c r="L656" s="6"/>
      <c r="M656" s="138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138"/>
      <c r="H657" s="6"/>
      <c r="I657" s="6"/>
      <c r="J657" s="6"/>
      <c r="K657" s="6"/>
      <c r="L657" s="6"/>
      <c r="M657" s="138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138"/>
      <c r="H658" s="6"/>
      <c r="I658" s="6"/>
      <c r="J658" s="6"/>
      <c r="K658" s="6"/>
      <c r="L658" s="6"/>
      <c r="M658" s="138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138"/>
      <c r="H659" s="6"/>
      <c r="I659" s="6"/>
      <c r="J659" s="6"/>
      <c r="K659" s="6"/>
      <c r="L659" s="6"/>
      <c r="M659" s="138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138"/>
      <c r="H660" s="6"/>
      <c r="I660" s="6"/>
      <c r="J660" s="6"/>
      <c r="K660" s="6"/>
      <c r="L660" s="6"/>
      <c r="M660" s="138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138"/>
      <c r="H661" s="6"/>
      <c r="I661" s="6"/>
      <c r="J661" s="6"/>
      <c r="K661" s="6"/>
      <c r="L661" s="6"/>
      <c r="M661" s="138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138"/>
      <c r="H662" s="6"/>
      <c r="I662" s="6"/>
      <c r="J662" s="6"/>
      <c r="K662" s="6"/>
      <c r="L662" s="6"/>
      <c r="M662" s="138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138"/>
      <c r="H663" s="6"/>
      <c r="I663" s="6"/>
      <c r="J663" s="6"/>
      <c r="K663" s="6"/>
      <c r="L663" s="6"/>
      <c r="M663" s="138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138"/>
      <c r="H664" s="6"/>
      <c r="I664" s="6"/>
      <c r="J664" s="6"/>
      <c r="K664" s="6"/>
      <c r="L664" s="6"/>
      <c r="M664" s="138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138"/>
      <c r="H665" s="6"/>
      <c r="I665" s="6"/>
      <c r="J665" s="6"/>
      <c r="K665" s="6"/>
      <c r="L665" s="6"/>
      <c r="M665" s="138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138"/>
      <c r="H666" s="6"/>
      <c r="I666" s="6"/>
      <c r="J666" s="6"/>
      <c r="K666" s="6"/>
      <c r="L666" s="6"/>
      <c r="M666" s="138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138"/>
      <c r="H667" s="6"/>
      <c r="I667" s="6"/>
      <c r="J667" s="6"/>
      <c r="K667" s="6"/>
      <c r="L667" s="6"/>
      <c r="M667" s="138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138"/>
      <c r="H668" s="6"/>
      <c r="I668" s="6"/>
      <c r="J668" s="6"/>
      <c r="K668" s="6"/>
      <c r="L668" s="6"/>
      <c r="M668" s="138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138"/>
      <c r="H669" s="6"/>
      <c r="I669" s="6"/>
      <c r="J669" s="6"/>
      <c r="K669" s="6"/>
      <c r="L669" s="6"/>
      <c r="M669" s="138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138"/>
      <c r="H670" s="6"/>
      <c r="I670" s="6"/>
      <c r="J670" s="6"/>
      <c r="K670" s="6"/>
      <c r="L670" s="6"/>
      <c r="M670" s="138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138"/>
      <c r="H671" s="6"/>
      <c r="I671" s="6"/>
      <c r="J671" s="6"/>
      <c r="K671" s="6"/>
      <c r="L671" s="6"/>
      <c r="M671" s="138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138"/>
      <c r="H672" s="6"/>
      <c r="I672" s="6"/>
      <c r="J672" s="6"/>
      <c r="K672" s="6"/>
      <c r="L672" s="6"/>
      <c r="M672" s="138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138"/>
      <c r="H673" s="6"/>
      <c r="I673" s="6"/>
      <c r="J673" s="6"/>
      <c r="K673" s="6"/>
      <c r="L673" s="6"/>
      <c r="M673" s="138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138"/>
      <c r="H674" s="6"/>
      <c r="I674" s="6"/>
      <c r="J674" s="6"/>
      <c r="K674" s="6"/>
      <c r="L674" s="6"/>
      <c r="M674" s="138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138"/>
      <c r="H675" s="6"/>
      <c r="I675" s="6"/>
      <c r="J675" s="6"/>
      <c r="K675" s="6"/>
      <c r="L675" s="6"/>
      <c r="M675" s="138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138"/>
      <c r="H676" s="6"/>
      <c r="I676" s="6"/>
      <c r="J676" s="6"/>
      <c r="K676" s="6"/>
      <c r="L676" s="6"/>
      <c r="M676" s="138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138"/>
      <c r="H677" s="6"/>
      <c r="I677" s="6"/>
      <c r="J677" s="6"/>
      <c r="K677" s="6"/>
      <c r="L677" s="6"/>
      <c r="M677" s="138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138"/>
      <c r="H678" s="6"/>
      <c r="I678" s="6"/>
      <c r="J678" s="6"/>
      <c r="K678" s="6"/>
      <c r="L678" s="6"/>
      <c r="M678" s="138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138"/>
      <c r="H679" s="6"/>
      <c r="I679" s="6"/>
      <c r="J679" s="6"/>
      <c r="K679" s="6"/>
      <c r="L679" s="6"/>
      <c r="M679" s="138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138"/>
      <c r="H680" s="6"/>
      <c r="I680" s="6"/>
      <c r="J680" s="6"/>
      <c r="K680" s="6"/>
      <c r="L680" s="6"/>
      <c r="M680" s="138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138"/>
      <c r="H681" s="6"/>
      <c r="I681" s="6"/>
      <c r="J681" s="6"/>
      <c r="K681" s="6"/>
      <c r="L681" s="6"/>
      <c r="M681" s="138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138"/>
      <c r="H682" s="6"/>
      <c r="I682" s="6"/>
      <c r="J682" s="6"/>
      <c r="K682" s="6"/>
      <c r="L682" s="6"/>
      <c r="M682" s="138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138"/>
      <c r="H683" s="6"/>
      <c r="I683" s="6"/>
      <c r="J683" s="6"/>
      <c r="K683" s="6"/>
      <c r="L683" s="6"/>
      <c r="M683" s="138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138"/>
      <c r="H684" s="6"/>
      <c r="I684" s="6"/>
      <c r="J684" s="6"/>
      <c r="K684" s="6"/>
      <c r="L684" s="6"/>
      <c r="M684" s="138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138"/>
      <c r="H685" s="6"/>
      <c r="I685" s="6"/>
      <c r="J685" s="6"/>
      <c r="K685" s="6"/>
      <c r="L685" s="6"/>
      <c r="M685" s="138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138"/>
      <c r="H686" s="6"/>
      <c r="I686" s="6"/>
      <c r="J686" s="6"/>
      <c r="K686" s="6"/>
      <c r="L686" s="6"/>
      <c r="M686" s="138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138"/>
      <c r="H687" s="6"/>
      <c r="I687" s="6"/>
      <c r="J687" s="6"/>
      <c r="K687" s="6"/>
      <c r="L687" s="6"/>
      <c r="M687" s="138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138"/>
      <c r="H688" s="6"/>
      <c r="I688" s="6"/>
      <c r="J688" s="6"/>
      <c r="K688" s="6"/>
      <c r="L688" s="6"/>
      <c r="M688" s="138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138"/>
      <c r="H689" s="6"/>
      <c r="I689" s="6"/>
      <c r="J689" s="6"/>
      <c r="K689" s="6"/>
      <c r="L689" s="6"/>
      <c r="M689" s="138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138"/>
      <c r="H690" s="6"/>
      <c r="I690" s="6"/>
      <c r="J690" s="6"/>
      <c r="K690" s="6"/>
      <c r="L690" s="6"/>
      <c r="M690" s="138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138"/>
      <c r="H691" s="6"/>
      <c r="I691" s="6"/>
      <c r="J691" s="6"/>
      <c r="K691" s="6"/>
      <c r="L691" s="6"/>
      <c r="M691" s="138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138"/>
      <c r="H692" s="6"/>
      <c r="I692" s="6"/>
      <c r="J692" s="6"/>
      <c r="K692" s="6"/>
      <c r="L692" s="6"/>
      <c r="M692" s="138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138"/>
      <c r="H693" s="6"/>
      <c r="I693" s="6"/>
      <c r="J693" s="6"/>
      <c r="K693" s="6"/>
      <c r="L693" s="6"/>
      <c r="M693" s="138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138"/>
      <c r="H694" s="6"/>
      <c r="I694" s="6"/>
      <c r="J694" s="6"/>
      <c r="K694" s="6"/>
      <c r="L694" s="6"/>
      <c r="M694" s="138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138"/>
      <c r="H695" s="6"/>
      <c r="I695" s="6"/>
      <c r="J695" s="6"/>
      <c r="K695" s="6"/>
      <c r="L695" s="6"/>
      <c r="M695" s="138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138"/>
      <c r="H696" s="6"/>
      <c r="I696" s="6"/>
      <c r="J696" s="6"/>
      <c r="K696" s="6"/>
      <c r="L696" s="6"/>
      <c r="M696" s="138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138"/>
      <c r="H697" s="6"/>
      <c r="I697" s="6"/>
      <c r="J697" s="6"/>
      <c r="K697" s="6"/>
      <c r="L697" s="6"/>
      <c r="M697" s="138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138"/>
      <c r="H698" s="6"/>
      <c r="I698" s="6"/>
      <c r="J698" s="6"/>
      <c r="K698" s="6"/>
      <c r="L698" s="6"/>
      <c r="M698" s="138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138"/>
      <c r="H699" s="6"/>
      <c r="I699" s="6"/>
      <c r="J699" s="6"/>
      <c r="K699" s="6"/>
      <c r="L699" s="6"/>
      <c r="M699" s="138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138"/>
      <c r="H700" s="6"/>
      <c r="I700" s="6"/>
      <c r="J700" s="6"/>
      <c r="K700" s="6"/>
      <c r="L700" s="6"/>
      <c r="M700" s="138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138"/>
      <c r="H701" s="6"/>
      <c r="I701" s="6"/>
      <c r="J701" s="6"/>
      <c r="K701" s="6"/>
      <c r="L701" s="6"/>
      <c r="M701" s="138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138"/>
      <c r="H702" s="6"/>
      <c r="I702" s="6"/>
      <c r="J702" s="6"/>
      <c r="K702" s="6"/>
      <c r="L702" s="6"/>
      <c r="M702" s="138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138"/>
      <c r="H703" s="6"/>
      <c r="I703" s="6"/>
      <c r="J703" s="6"/>
      <c r="K703" s="6"/>
      <c r="L703" s="6"/>
      <c r="M703" s="138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138"/>
      <c r="H704" s="6"/>
      <c r="I704" s="6"/>
      <c r="J704" s="6"/>
      <c r="K704" s="6"/>
      <c r="L704" s="6"/>
      <c r="M704" s="138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138"/>
      <c r="H705" s="6"/>
      <c r="I705" s="6"/>
      <c r="J705" s="6"/>
      <c r="K705" s="6"/>
      <c r="L705" s="6"/>
      <c r="M705" s="138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138"/>
      <c r="H706" s="6"/>
      <c r="I706" s="6"/>
      <c r="J706" s="6"/>
      <c r="K706" s="6"/>
      <c r="L706" s="6"/>
      <c r="M706" s="138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138"/>
      <c r="H707" s="6"/>
      <c r="I707" s="6"/>
      <c r="J707" s="6"/>
      <c r="K707" s="6"/>
      <c r="L707" s="6"/>
      <c r="M707" s="138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138"/>
      <c r="H708" s="6"/>
      <c r="I708" s="6"/>
      <c r="J708" s="6"/>
      <c r="K708" s="6"/>
      <c r="L708" s="6"/>
      <c r="M708" s="138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138"/>
      <c r="H709" s="6"/>
      <c r="I709" s="6"/>
      <c r="J709" s="6"/>
      <c r="K709" s="6"/>
      <c r="L709" s="6"/>
      <c r="M709" s="138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138"/>
      <c r="H710" s="6"/>
      <c r="I710" s="6"/>
      <c r="J710" s="6"/>
      <c r="K710" s="6"/>
      <c r="L710" s="6"/>
      <c r="M710" s="138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138"/>
      <c r="H711" s="6"/>
      <c r="I711" s="6"/>
      <c r="J711" s="6"/>
      <c r="K711" s="6"/>
      <c r="L711" s="6"/>
      <c r="M711" s="138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138"/>
      <c r="H712" s="6"/>
      <c r="I712" s="6"/>
      <c r="J712" s="6"/>
      <c r="K712" s="6"/>
      <c r="L712" s="6"/>
      <c r="M712" s="138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138"/>
      <c r="H713" s="6"/>
      <c r="I713" s="6"/>
      <c r="J713" s="6"/>
      <c r="K713" s="6"/>
      <c r="L713" s="6"/>
      <c r="M713" s="138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138"/>
      <c r="H714" s="6"/>
      <c r="I714" s="6"/>
      <c r="J714" s="6"/>
      <c r="K714" s="6"/>
      <c r="L714" s="6"/>
      <c r="M714" s="138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138"/>
      <c r="H715" s="6"/>
      <c r="I715" s="6"/>
      <c r="J715" s="6"/>
      <c r="K715" s="6"/>
      <c r="L715" s="6"/>
      <c r="M715" s="138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138"/>
      <c r="H716" s="6"/>
      <c r="I716" s="6"/>
      <c r="J716" s="6"/>
      <c r="K716" s="6"/>
      <c r="L716" s="6"/>
      <c r="M716" s="138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138"/>
      <c r="H717" s="6"/>
      <c r="I717" s="6"/>
      <c r="J717" s="6"/>
      <c r="K717" s="6"/>
      <c r="L717" s="6"/>
      <c r="M717" s="138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138"/>
      <c r="H718" s="6"/>
      <c r="I718" s="6"/>
      <c r="J718" s="6"/>
      <c r="K718" s="6"/>
      <c r="L718" s="6"/>
      <c r="M718" s="138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138"/>
      <c r="H719" s="6"/>
      <c r="I719" s="6"/>
      <c r="J719" s="6"/>
      <c r="K719" s="6"/>
      <c r="L719" s="6"/>
      <c r="M719" s="138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138"/>
      <c r="H720" s="6"/>
      <c r="I720" s="6"/>
      <c r="J720" s="6"/>
      <c r="K720" s="6"/>
      <c r="L720" s="6"/>
      <c r="M720" s="138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138"/>
      <c r="H721" s="6"/>
      <c r="I721" s="6"/>
      <c r="J721" s="6"/>
      <c r="K721" s="6"/>
      <c r="L721" s="6"/>
      <c r="M721" s="138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138"/>
      <c r="H722" s="6"/>
      <c r="I722" s="6"/>
      <c r="J722" s="6"/>
      <c r="K722" s="6"/>
      <c r="L722" s="6"/>
      <c r="M722" s="138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138"/>
      <c r="H723" s="6"/>
      <c r="I723" s="6"/>
      <c r="J723" s="6"/>
      <c r="K723" s="6"/>
      <c r="L723" s="6"/>
      <c r="M723" s="138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138"/>
      <c r="H724" s="6"/>
      <c r="I724" s="6"/>
      <c r="J724" s="6"/>
      <c r="K724" s="6"/>
      <c r="L724" s="6"/>
      <c r="M724" s="138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138"/>
      <c r="H725" s="6"/>
      <c r="I725" s="6"/>
      <c r="J725" s="6"/>
      <c r="K725" s="6"/>
      <c r="L725" s="6"/>
      <c r="M725" s="138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138"/>
      <c r="H726" s="6"/>
      <c r="I726" s="6"/>
      <c r="J726" s="6"/>
      <c r="K726" s="6"/>
      <c r="L726" s="6"/>
      <c r="M726" s="138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138"/>
      <c r="H727" s="6"/>
      <c r="I727" s="6"/>
      <c r="J727" s="6"/>
      <c r="K727" s="6"/>
      <c r="L727" s="6"/>
      <c r="M727" s="138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138"/>
      <c r="H728" s="6"/>
      <c r="I728" s="6"/>
      <c r="J728" s="6"/>
      <c r="K728" s="6"/>
      <c r="L728" s="6"/>
      <c r="M728" s="138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138"/>
      <c r="H729" s="6"/>
      <c r="I729" s="6"/>
      <c r="J729" s="6"/>
      <c r="K729" s="6"/>
      <c r="L729" s="6"/>
      <c r="M729" s="138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138"/>
      <c r="H730" s="6"/>
      <c r="I730" s="6"/>
      <c r="J730" s="6"/>
      <c r="K730" s="6"/>
      <c r="L730" s="6"/>
      <c r="M730" s="138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138"/>
      <c r="H731" s="6"/>
      <c r="I731" s="6"/>
      <c r="J731" s="6"/>
      <c r="K731" s="6"/>
      <c r="L731" s="6"/>
      <c r="M731" s="138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138"/>
      <c r="H732" s="6"/>
      <c r="I732" s="6"/>
      <c r="J732" s="6"/>
      <c r="K732" s="6"/>
      <c r="L732" s="6"/>
      <c r="M732" s="138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138"/>
      <c r="H733" s="6"/>
      <c r="I733" s="6"/>
      <c r="J733" s="6"/>
      <c r="K733" s="6"/>
      <c r="L733" s="6"/>
      <c r="M733" s="138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138"/>
      <c r="H734" s="6"/>
      <c r="I734" s="6"/>
      <c r="J734" s="6"/>
      <c r="K734" s="6"/>
      <c r="L734" s="6"/>
      <c r="M734" s="138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138"/>
      <c r="H735" s="6"/>
      <c r="I735" s="6"/>
      <c r="J735" s="6"/>
      <c r="K735" s="6"/>
      <c r="L735" s="6"/>
      <c r="M735" s="138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138"/>
      <c r="H736" s="6"/>
      <c r="I736" s="6"/>
      <c r="J736" s="6"/>
      <c r="K736" s="6"/>
      <c r="L736" s="6"/>
      <c r="M736" s="138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138"/>
      <c r="H737" s="6"/>
      <c r="I737" s="6"/>
      <c r="J737" s="6"/>
      <c r="K737" s="6"/>
      <c r="L737" s="6"/>
      <c r="M737" s="138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138"/>
      <c r="H738" s="6"/>
      <c r="I738" s="6"/>
      <c r="J738" s="6"/>
      <c r="K738" s="6"/>
      <c r="L738" s="6"/>
      <c r="M738" s="138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138"/>
      <c r="H739" s="6"/>
      <c r="I739" s="6"/>
      <c r="J739" s="6"/>
      <c r="K739" s="6"/>
      <c r="L739" s="6"/>
      <c r="M739" s="138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138"/>
      <c r="H740" s="6"/>
      <c r="I740" s="6"/>
      <c r="J740" s="6"/>
      <c r="K740" s="6"/>
      <c r="L740" s="6"/>
      <c r="M740" s="138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138"/>
      <c r="H741" s="6"/>
      <c r="I741" s="6"/>
      <c r="J741" s="6"/>
      <c r="K741" s="6"/>
      <c r="L741" s="6"/>
      <c r="M741" s="138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138"/>
      <c r="H742" s="6"/>
      <c r="I742" s="6"/>
      <c r="J742" s="6"/>
      <c r="K742" s="6"/>
      <c r="L742" s="6"/>
      <c r="M742" s="138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138"/>
      <c r="H743" s="6"/>
      <c r="I743" s="6"/>
      <c r="J743" s="6"/>
      <c r="K743" s="6"/>
      <c r="L743" s="6"/>
      <c r="M743" s="138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138"/>
      <c r="H744" s="6"/>
      <c r="I744" s="6"/>
      <c r="J744" s="6"/>
      <c r="K744" s="6"/>
      <c r="L744" s="6"/>
      <c r="M744" s="138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138"/>
      <c r="H745" s="6"/>
      <c r="I745" s="6"/>
      <c r="J745" s="6"/>
      <c r="K745" s="6"/>
      <c r="L745" s="6"/>
      <c r="M745" s="138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138"/>
      <c r="H746" s="6"/>
      <c r="I746" s="6"/>
      <c r="J746" s="6"/>
      <c r="K746" s="6"/>
      <c r="L746" s="6"/>
      <c r="M746" s="138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138"/>
      <c r="H747" s="6"/>
      <c r="I747" s="6"/>
      <c r="J747" s="6"/>
      <c r="K747" s="6"/>
      <c r="L747" s="6"/>
      <c r="M747" s="138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138"/>
      <c r="H748" s="6"/>
      <c r="I748" s="6"/>
      <c r="J748" s="6"/>
      <c r="K748" s="6"/>
      <c r="L748" s="6"/>
      <c r="M748" s="138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138"/>
      <c r="H749" s="6"/>
      <c r="I749" s="6"/>
      <c r="J749" s="6"/>
      <c r="K749" s="6"/>
      <c r="L749" s="6"/>
      <c r="M749" s="138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138"/>
      <c r="H750" s="6"/>
      <c r="I750" s="6"/>
      <c r="J750" s="6"/>
      <c r="K750" s="6"/>
      <c r="L750" s="6"/>
      <c r="M750" s="138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138"/>
      <c r="H751" s="6"/>
      <c r="I751" s="6"/>
      <c r="J751" s="6"/>
      <c r="K751" s="6"/>
      <c r="L751" s="6"/>
      <c r="M751" s="138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138"/>
      <c r="H752" s="6"/>
      <c r="I752" s="6"/>
      <c r="J752" s="6"/>
      <c r="K752" s="6"/>
      <c r="L752" s="6"/>
      <c r="M752" s="138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138"/>
      <c r="H753" s="6"/>
      <c r="I753" s="6"/>
      <c r="J753" s="6"/>
      <c r="K753" s="6"/>
      <c r="L753" s="6"/>
      <c r="M753" s="138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138"/>
      <c r="H754" s="6"/>
      <c r="I754" s="6"/>
      <c r="J754" s="6"/>
      <c r="K754" s="6"/>
      <c r="L754" s="6"/>
      <c r="M754" s="138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138"/>
      <c r="H755" s="6"/>
      <c r="I755" s="6"/>
      <c r="J755" s="6"/>
      <c r="K755" s="6"/>
      <c r="L755" s="6"/>
      <c r="M755" s="138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138"/>
      <c r="H756" s="6"/>
      <c r="I756" s="6"/>
      <c r="J756" s="6"/>
      <c r="K756" s="6"/>
      <c r="L756" s="6"/>
      <c r="M756" s="138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138"/>
      <c r="H757" s="6"/>
      <c r="I757" s="6"/>
      <c r="J757" s="6"/>
      <c r="K757" s="6"/>
      <c r="L757" s="6"/>
      <c r="M757" s="138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138"/>
      <c r="H758" s="6"/>
      <c r="I758" s="6"/>
      <c r="J758" s="6"/>
      <c r="K758" s="6"/>
      <c r="L758" s="6"/>
      <c r="M758" s="138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138"/>
      <c r="H759" s="6"/>
      <c r="I759" s="6"/>
      <c r="J759" s="6"/>
      <c r="K759" s="6"/>
      <c r="L759" s="6"/>
      <c r="M759" s="138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138"/>
      <c r="H760" s="6"/>
      <c r="I760" s="6"/>
      <c r="J760" s="6"/>
      <c r="K760" s="6"/>
      <c r="L760" s="6"/>
      <c r="M760" s="138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138"/>
      <c r="H761" s="6"/>
      <c r="I761" s="6"/>
      <c r="J761" s="6"/>
      <c r="K761" s="6"/>
      <c r="L761" s="6"/>
      <c r="M761" s="138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138"/>
      <c r="H762" s="6"/>
      <c r="I762" s="6"/>
      <c r="J762" s="6"/>
      <c r="K762" s="6"/>
      <c r="L762" s="6"/>
      <c r="M762" s="138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138"/>
      <c r="H763" s="6"/>
      <c r="I763" s="6"/>
      <c r="J763" s="6"/>
      <c r="K763" s="6"/>
      <c r="L763" s="6"/>
      <c r="M763" s="138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138"/>
      <c r="H764" s="6"/>
      <c r="I764" s="6"/>
      <c r="J764" s="6"/>
      <c r="K764" s="6"/>
      <c r="L764" s="6"/>
      <c r="M764" s="138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138"/>
      <c r="H765" s="6"/>
      <c r="I765" s="6"/>
      <c r="J765" s="6"/>
      <c r="K765" s="6"/>
      <c r="L765" s="6"/>
      <c r="M765" s="138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138"/>
      <c r="H766" s="6"/>
      <c r="I766" s="6"/>
      <c r="J766" s="6"/>
      <c r="K766" s="6"/>
      <c r="L766" s="6"/>
      <c r="M766" s="138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138"/>
      <c r="H767" s="6"/>
      <c r="I767" s="6"/>
      <c r="J767" s="6"/>
      <c r="K767" s="6"/>
      <c r="L767" s="6"/>
      <c r="M767" s="138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138"/>
      <c r="H768" s="6"/>
      <c r="I768" s="6"/>
      <c r="J768" s="6"/>
      <c r="K768" s="6"/>
      <c r="L768" s="6"/>
      <c r="M768" s="138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138"/>
      <c r="H769" s="6"/>
      <c r="I769" s="6"/>
      <c r="J769" s="6"/>
      <c r="K769" s="6"/>
      <c r="L769" s="6"/>
      <c r="M769" s="138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138"/>
      <c r="H770" s="6"/>
      <c r="I770" s="6"/>
      <c r="J770" s="6"/>
      <c r="K770" s="6"/>
      <c r="L770" s="6"/>
      <c r="M770" s="138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138"/>
      <c r="H771" s="6"/>
      <c r="I771" s="6"/>
      <c r="J771" s="6"/>
      <c r="K771" s="6"/>
      <c r="L771" s="6"/>
      <c r="M771" s="138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138"/>
      <c r="H772" s="6"/>
      <c r="I772" s="6"/>
      <c r="J772" s="6"/>
      <c r="K772" s="6"/>
      <c r="L772" s="6"/>
      <c r="M772" s="138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138"/>
      <c r="H773" s="6"/>
      <c r="I773" s="6"/>
      <c r="J773" s="6"/>
      <c r="K773" s="6"/>
      <c r="L773" s="6"/>
      <c r="M773" s="138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138"/>
      <c r="H774" s="6"/>
      <c r="I774" s="6"/>
      <c r="J774" s="6"/>
      <c r="K774" s="6"/>
      <c r="L774" s="6"/>
      <c r="M774" s="138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138"/>
      <c r="H775" s="6"/>
      <c r="I775" s="6"/>
      <c r="J775" s="6"/>
      <c r="K775" s="6"/>
      <c r="L775" s="6"/>
      <c r="M775" s="138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138"/>
      <c r="H776" s="6"/>
      <c r="I776" s="6"/>
      <c r="J776" s="6"/>
      <c r="K776" s="6"/>
      <c r="L776" s="6"/>
      <c r="M776" s="138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138"/>
      <c r="H777" s="6"/>
      <c r="I777" s="6"/>
      <c r="J777" s="6"/>
      <c r="K777" s="6"/>
      <c r="L777" s="6"/>
      <c r="M777" s="138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138"/>
      <c r="H778" s="6"/>
      <c r="I778" s="6"/>
      <c r="J778" s="6"/>
      <c r="K778" s="6"/>
      <c r="L778" s="6"/>
      <c r="M778" s="138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138"/>
      <c r="H779" s="6"/>
      <c r="I779" s="6"/>
      <c r="J779" s="6"/>
      <c r="K779" s="6"/>
      <c r="L779" s="6"/>
      <c r="M779" s="138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138"/>
      <c r="H780" s="6"/>
      <c r="I780" s="6"/>
      <c r="J780" s="6"/>
      <c r="K780" s="6"/>
      <c r="L780" s="6"/>
      <c r="M780" s="138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138"/>
      <c r="H781" s="6"/>
      <c r="I781" s="6"/>
      <c r="J781" s="6"/>
      <c r="K781" s="6"/>
      <c r="L781" s="6"/>
      <c r="M781" s="138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138"/>
      <c r="H782" s="6"/>
      <c r="I782" s="6"/>
      <c r="J782" s="6"/>
      <c r="K782" s="6"/>
      <c r="L782" s="6"/>
      <c r="M782" s="138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138"/>
      <c r="H783" s="6"/>
      <c r="I783" s="6"/>
      <c r="J783" s="6"/>
      <c r="K783" s="6"/>
      <c r="L783" s="6"/>
      <c r="M783" s="138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138"/>
      <c r="H784" s="6"/>
      <c r="I784" s="6"/>
      <c r="J784" s="6"/>
      <c r="K784" s="6"/>
      <c r="L784" s="6"/>
      <c r="M784" s="138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138"/>
      <c r="H785" s="6"/>
      <c r="I785" s="6"/>
      <c r="J785" s="6"/>
      <c r="K785" s="6"/>
      <c r="L785" s="6"/>
      <c r="M785" s="138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138"/>
      <c r="H786" s="6"/>
      <c r="I786" s="6"/>
      <c r="J786" s="6"/>
      <c r="K786" s="6"/>
      <c r="L786" s="6"/>
      <c r="M786" s="138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138"/>
      <c r="H787" s="6"/>
      <c r="I787" s="6"/>
      <c r="J787" s="6"/>
      <c r="K787" s="6"/>
      <c r="L787" s="6"/>
      <c r="M787" s="138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138"/>
      <c r="H788" s="6"/>
      <c r="I788" s="6"/>
      <c r="J788" s="6"/>
      <c r="K788" s="6"/>
      <c r="L788" s="6"/>
      <c r="M788" s="138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138"/>
      <c r="H789" s="6"/>
      <c r="I789" s="6"/>
      <c r="J789" s="6"/>
      <c r="K789" s="6"/>
      <c r="L789" s="6"/>
      <c r="M789" s="138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138"/>
      <c r="H790" s="6"/>
      <c r="I790" s="6"/>
      <c r="J790" s="6"/>
      <c r="K790" s="6"/>
      <c r="L790" s="6"/>
      <c r="M790" s="138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138"/>
      <c r="H791" s="6"/>
      <c r="I791" s="6"/>
      <c r="J791" s="6"/>
      <c r="K791" s="6"/>
      <c r="L791" s="6"/>
      <c r="M791" s="138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138"/>
      <c r="H792" s="6"/>
      <c r="I792" s="6"/>
      <c r="J792" s="6"/>
      <c r="K792" s="6"/>
      <c r="L792" s="6"/>
      <c r="M792" s="138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138"/>
      <c r="H793" s="6"/>
      <c r="I793" s="6"/>
      <c r="J793" s="6"/>
      <c r="K793" s="6"/>
      <c r="L793" s="6"/>
      <c r="M793" s="138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138"/>
      <c r="H794" s="6"/>
      <c r="I794" s="6"/>
      <c r="J794" s="6"/>
      <c r="K794" s="6"/>
      <c r="L794" s="6"/>
      <c r="M794" s="138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138"/>
      <c r="H795" s="6"/>
      <c r="I795" s="6"/>
      <c r="J795" s="6"/>
      <c r="K795" s="6"/>
      <c r="L795" s="6"/>
      <c r="M795" s="138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138"/>
      <c r="H796" s="6"/>
      <c r="I796" s="6"/>
      <c r="J796" s="6"/>
      <c r="K796" s="6"/>
      <c r="L796" s="6"/>
      <c r="M796" s="138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138"/>
      <c r="H797" s="6"/>
      <c r="I797" s="6"/>
      <c r="J797" s="6"/>
      <c r="K797" s="6"/>
      <c r="L797" s="6"/>
      <c r="M797" s="138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138"/>
      <c r="H798" s="6"/>
      <c r="I798" s="6"/>
      <c r="J798" s="6"/>
      <c r="K798" s="6"/>
      <c r="L798" s="6"/>
      <c r="M798" s="138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138"/>
      <c r="H799" s="6"/>
      <c r="I799" s="6"/>
      <c r="J799" s="6"/>
      <c r="K799" s="6"/>
      <c r="L799" s="6"/>
      <c r="M799" s="138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138"/>
      <c r="H800" s="6"/>
      <c r="I800" s="6"/>
      <c r="J800" s="6"/>
      <c r="K800" s="6"/>
      <c r="L800" s="6"/>
      <c r="M800" s="138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138"/>
      <c r="H801" s="6"/>
      <c r="I801" s="6"/>
      <c r="J801" s="6"/>
      <c r="K801" s="6"/>
      <c r="L801" s="6"/>
      <c r="M801" s="138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138"/>
      <c r="H802" s="6"/>
      <c r="I802" s="6"/>
      <c r="J802" s="6"/>
      <c r="K802" s="6"/>
      <c r="L802" s="6"/>
      <c r="M802" s="138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138"/>
      <c r="H803" s="6"/>
      <c r="I803" s="6"/>
      <c r="J803" s="6"/>
      <c r="K803" s="6"/>
      <c r="L803" s="6"/>
      <c r="M803" s="138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138"/>
      <c r="H804" s="6"/>
      <c r="I804" s="6"/>
      <c r="J804" s="6"/>
      <c r="K804" s="6"/>
      <c r="L804" s="6"/>
      <c r="M804" s="138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138"/>
      <c r="H805" s="6"/>
      <c r="I805" s="6"/>
      <c r="J805" s="6"/>
      <c r="K805" s="6"/>
      <c r="L805" s="6"/>
      <c r="M805" s="138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138"/>
      <c r="H806" s="6"/>
      <c r="I806" s="6"/>
      <c r="J806" s="6"/>
      <c r="K806" s="6"/>
      <c r="L806" s="6"/>
      <c r="M806" s="138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138"/>
      <c r="H807" s="6"/>
      <c r="I807" s="6"/>
      <c r="J807" s="6"/>
      <c r="K807" s="6"/>
      <c r="L807" s="6"/>
      <c r="M807" s="138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138"/>
      <c r="H808" s="6"/>
      <c r="I808" s="6"/>
      <c r="J808" s="6"/>
      <c r="K808" s="6"/>
      <c r="L808" s="6"/>
      <c r="M808" s="138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138"/>
      <c r="H809" s="6"/>
      <c r="I809" s="6"/>
      <c r="J809" s="6"/>
      <c r="K809" s="6"/>
      <c r="L809" s="6"/>
      <c r="M809" s="138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138"/>
      <c r="H810" s="6"/>
      <c r="I810" s="6"/>
      <c r="J810" s="6"/>
      <c r="K810" s="6"/>
      <c r="L810" s="6"/>
      <c r="M810" s="138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138"/>
      <c r="H811" s="6"/>
      <c r="I811" s="6"/>
      <c r="J811" s="6"/>
      <c r="K811" s="6"/>
      <c r="L811" s="6"/>
      <c r="M811" s="138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138"/>
      <c r="H812" s="6"/>
      <c r="I812" s="6"/>
      <c r="J812" s="6"/>
      <c r="K812" s="6"/>
      <c r="L812" s="6"/>
      <c r="M812" s="138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138"/>
      <c r="H813" s="6"/>
      <c r="I813" s="6"/>
      <c r="J813" s="6"/>
      <c r="K813" s="6"/>
      <c r="L813" s="6"/>
      <c r="M813" s="138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138"/>
      <c r="H814" s="6"/>
      <c r="I814" s="6"/>
      <c r="J814" s="6"/>
      <c r="K814" s="6"/>
      <c r="L814" s="6"/>
      <c r="M814" s="138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138"/>
      <c r="H815" s="6"/>
      <c r="I815" s="6"/>
      <c r="J815" s="6"/>
      <c r="K815" s="6"/>
      <c r="L815" s="6"/>
      <c r="M815" s="138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138"/>
      <c r="H816" s="6"/>
      <c r="I816" s="6"/>
      <c r="J816" s="6"/>
      <c r="K816" s="6"/>
      <c r="L816" s="6"/>
      <c r="M816" s="138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138"/>
      <c r="H817" s="6"/>
      <c r="I817" s="6"/>
      <c r="J817" s="6"/>
      <c r="K817" s="6"/>
      <c r="L817" s="6"/>
      <c r="M817" s="138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138"/>
      <c r="H818" s="6"/>
      <c r="I818" s="6"/>
      <c r="J818" s="6"/>
      <c r="K818" s="6"/>
      <c r="L818" s="6"/>
      <c r="M818" s="138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138"/>
      <c r="H819" s="6"/>
      <c r="I819" s="6"/>
      <c r="J819" s="6"/>
      <c r="K819" s="6"/>
      <c r="L819" s="6"/>
      <c r="M819" s="138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138"/>
      <c r="H820" s="6"/>
      <c r="I820" s="6"/>
      <c r="J820" s="6"/>
      <c r="K820" s="6"/>
      <c r="L820" s="6"/>
      <c r="M820" s="138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138"/>
      <c r="H821" s="6"/>
      <c r="I821" s="6"/>
      <c r="J821" s="6"/>
      <c r="K821" s="6"/>
      <c r="L821" s="6"/>
      <c r="M821" s="138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138"/>
      <c r="H822" s="6"/>
      <c r="I822" s="6"/>
      <c r="J822" s="6"/>
      <c r="K822" s="6"/>
      <c r="L822" s="6"/>
      <c r="M822" s="138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138"/>
      <c r="H823" s="6"/>
      <c r="I823" s="6"/>
      <c r="J823" s="6"/>
      <c r="K823" s="6"/>
      <c r="L823" s="6"/>
      <c r="M823" s="138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138"/>
      <c r="H824" s="6"/>
      <c r="I824" s="6"/>
      <c r="J824" s="6"/>
      <c r="K824" s="6"/>
      <c r="L824" s="6"/>
      <c r="M824" s="138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138"/>
      <c r="H825" s="6"/>
      <c r="I825" s="6"/>
      <c r="J825" s="6"/>
      <c r="K825" s="6"/>
      <c r="L825" s="6"/>
      <c r="M825" s="138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138"/>
      <c r="H826" s="6"/>
      <c r="I826" s="6"/>
      <c r="J826" s="6"/>
      <c r="K826" s="6"/>
      <c r="L826" s="6"/>
      <c r="M826" s="138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138"/>
      <c r="H827" s="6"/>
      <c r="I827" s="6"/>
      <c r="J827" s="6"/>
      <c r="K827" s="6"/>
      <c r="L827" s="6"/>
      <c r="M827" s="138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138"/>
      <c r="H828" s="6"/>
      <c r="I828" s="6"/>
      <c r="J828" s="6"/>
      <c r="K828" s="6"/>
      <c r="L828" s="6"/>
      <c r="M828" s="138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138"/>
      <c r="H829" s="6"/>
      <c r="I829" s="6"/>
      <c r="J829" s="6"/>
      <c r="K829" s="6"/>
      <c r="L829" s="6"/>
      <c r="M829" s="138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138"/>
      <c r="H830" s="6"/>
      <c r="I830" s="6"/>
      <c r="J830" s="6"/>
      <c r="K830" s="6"/>
      <c r="L830" s="6"/>
      <c r="M830" s="138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138"/>
      <c r="H831" s="6"/>
      <c r="I831" s="6"/>
      <c r="J831" s="6"/>
      <c r="K831" s="6"/>
      <c r="L831" s="6"/>
      <c r="M831" s="138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138"/>
      <c r="H832" s="6"/>
      <c r="I832" s="6"/>
      <c r="J832" s="6"/>
      <c r="K832" s="6"/>
      <c r="L832" s="6"/>
      <c r="M832" s="138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138"/>
      <c r="H833" s="6"/>
      <c r="I833" s="6"/>
      <c r="J833" s="6"/>
      <c r="K833" s="6"/>
      <c r="L833" s="6"/>
      <c r="M833" s="138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138"/>
      <c r="H834" s="6"/>
      <c r="I834" s="6"/>
      <c r="J834" s="6"/>
      <c r="K834" s="6"/>
      <c r="L834" s="6"/>
      <c r="M834" s="138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138"/>
      <c r="H835" s="6"/>
      <c r="I835" s="6"/>
      <c r="J835" s="6"/>
      <c r="K835" s="6"/>
      <c r="L835" s="6"/>
      <c r="M835" s="138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138"/>
      <c r="H836" s="6"/>
      <c r="I836" s="6"/>
      <c r="J836" s="6"/>
      <c r="K836" s="6"/>
      <c r="L836" s="6"/>
      <c r="M836" s="138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138"/>
      <c r="H837" s="6"/>
      <c r="I837" s="6"/>
      <c r="J837" s="6"/>
      <c r="K837" s="6"/>
      <c r="L837" s="6"/>
      <c r="M837" s="138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138"/>
      <c r="H838" s="6"/>
      <c r="I838" s="6"/>
      <c r="J838" s="6"/>
      <c r="K838" s="6"/>
      <c r="L838" s="6"/>
      <c r="M838" s="138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138"/>
      <c r="H839" s="6"/>
      <c r="I839" s="6"/>
      <c r="J839" s="6"/>
      <c r="K839" s="6"/>
      <c r="L839" s="6"/>
      <c r="M839" s="138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138"/>
      <c r="H840" s="6"/>
      <c r="I840" s="6"/>
      <c r="J840" s="6"/>
      <c r="K840" s="6"/>
      <c r="L840" s="6"/>
      <c r="M840" s="138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138"/>
      <c r="H841" s="6"/>
      <c r="I841" s="6"/>
      <c r="J841" s="6"/>
      <c r="K841" s="6"/>
      <c r="L841" s="6"/>
      <c r="M841" s="138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138"/>
      <c r="H842" s="6"/>
      <c r="I842" s="6"/>
      <c r="J842" s="6"/>
      <c r="K842" s="6"/>
      <c r="L842" s="6"/>
      <c r="M842" s="138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138"/>
      <c r="H843" s="6"/>
      <c r="I843" s="6"/>
      <c r="J843" s="6"/>
      <c r="K843" s="6"/>
      <c r="L843" s="6"/>
      <c r="M843" s="138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138"/>
      <c r="H844" s="6"/>
      <c r="I844" s="6"/>
      <c r="J844" s="6"/>
      <c r="K844" s="6"/>
      <c r="L844" s="6"/>
      <c r="M844" s="138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138"/>
      <c r="H845" s="6"/>
      <c r="I845" s="6"/>
      <c r="J845" s="6"/>
      <c r="K845" s="6"/>
      <c r="L845" s="6"/>
      <c r="M845" s="138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138"/>
      <c r="H846" s="6"/>
      <c r="I846" s="6"/>
      <c r="J846" s="6"/>
      <c r="K846" s="6"/>
      <c r="L846" s="6"/>
      <c r="M846" s="138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138"/>
      <c r="H847" s="6"/>
      <c r="I847" s="6"/>
      <c r="J847" s="6"/>
      <c r="K847" s="6"/>
      <c r="L847" s="6"/>
      <c r="M847" s="138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138"/>
      <c r="H848" s="6"/>
      <c r="I848" s="6"/>
      <c r="J848" s="6"/>
      <c r="K848" s="6"/>
      <c r="L848" s="6"/>
      <c r="M848" s="138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138"/>
      <c r="H849" s="6"/>
      <c r="I849" s="6"/>
      <c r="J849" s="6"/>
      <c r="K849" s="6"/>
      <c r="L849" s="6"/>
      <c r="M849" s="138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138"/>
      <c r="H850" s="6"/>
      <c r="I850" s="6"/>
      <c r="J850" s="6"/>
      <c r="K850" s="6"/>
      <c r="L850" s="6"/>
      <c r="M850" s="138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138"/>
      <c r="H851" s="6"/>
      <c r="I851" s="6"/>
      <c r="J851" s="6"/>
      <c r="K851" s="6"/>
      <c r="L851" s="6"/>
      <c r="M851" s="138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138"/>
      <c r="H852" s="6"/>
      <c r="I852" s="6"/>
      <c r="J852" s="6"/>
      <c r="K852" s="6"/>
      <c r="L852" s="6"/>
      <c r="M852" s="138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138"/>
      <c r="H853" s="6"/>
      <c r="I853" s="6"/>
      <c r="J853" s="6"/>
      <c r="K853" s="6"/>
      <c r="L853" s="6"/>
      <c r="M853" s="138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138"/>
      <c r="H854" s="6"/>
      <c r="I854" s="6"/>
      <c r="J854" s="6"/>
      <c r="K854" s="6"/>
      <c r="L854" s="6"/>
      <c r="M854" s="138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138"/>
      <c r="H855" s="6"/>
      <c r="I855" s="6"/>
      <c r="J855" s="6"/>
      <c r="K855" s="6"/>
      <c r="L855" s="6"/>
      <c r="M855" s="138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138"/>
      <c r="H856" s="6"/>
      <c r="I856" s="6"/>
      <c r="J856" s="6"/>
      <c r="K856" s="6"/>
      <c r="L856" s="6"/>
      <c r="M856" s="138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138"/>
      <c r="H857" s="6"/>
      <c r="I857" s="6"/>
      <c r="J857" s="6"/>
      <c r="K857" s="6"/>
      <c r="L857" s="6"/>
      <c r="M857" s="138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138"/>
      <c r="H858" s="6"/>
      <c r="I858" s="6"/>
      <c r="J858" s="6"/>
      <c r="K858" s="6"/>
      <c r="L858" s="6"/>
      <c r="M858" s="138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138"/>
      <c r="H859" s="6"/>
      <c r="I859" s="6"/>
      <c r="J859" s="6"/>
      <c r="K859" s="6"/>
      <c r="L859" s="6"/>
      <c r="M859" s="138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138"/>
      <c r="H860" s="6"/>
      <c r="I860" s="6"/>
      <c r="J860" s="6"/>
      <c r="K860" s="6"/>
      <c r="L860" s="6"/>
      <c r="M860" s="138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138"/>
      <c r="H861" s="6"/>
      <c r="I861" s="6"/>
      <c r="J861" s="6"/>
      <c r="K861" s="6"/>
      <c r="L861" s="6"/>
      <c r="M861" s="138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138"/>
      <c r="H862" s="6"/>
      <c r="I862" s="6"/>
      <c r="J862" s="6"/>
      <c r="K862" s="6"/>
      <c r="L862" s="6"/>
      <c r="M862" s="138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138"/>
      <c r="H863" s="6"/>
      <c r="I863" s="6"/>
      <c r="J863" s="6"/>
      <c r="K863" s="6"/>
      <c r="L863" s="6"/>
      <c r="M863" s="138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138"/>
      <c r="H864" s="6"/>
      <c r="I864" s="6"/>
      <c r="J864" s="6"/>
      <c r="K864" s="6"/>
      <c r="L864" s="6"/>
      <c r="M864" s="138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138"/>
      <c r="H865" s="6"/>
      <c r="I865" s="6"/>
      <c r="J865" s="6"/>
      <c r="K865" s="6"/>
      <c r="L865" s="6"/>
      <c r="M865" s="138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138"/>
      <c r="H866" s="6"/>
      <c r="I866" s="6"/>
      <c r="J866" s="6"/>
      <c r="K866" s="6"/>
      <c r="L866" s="6"/>
      <c r="M866" s="138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138"/>
      <c r="H867" s="6"/>
      <c r="I867" s="6"/>
      <c r="J867" s="6"/>
      <c r="K867" s="6"/>
      <c r="L867" s="6"/>
      <c r="M867" s="138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138"/>
      <c r="H868" s="6"/>
      <c r="I868" s="6"/>
      <c r="J868" s="6"/>
      <c r="K868" s="6"/>
      <c r="L868" s="6"/>
      <c r="M868" s="138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138"/>
      <c r="H869" s="6"/>
      <c r="I869" s="6"/>
      <c r="J869" s="6"/>
      <c r="K869" s="6"/>
      <c r="L869" s="6"/>
      <c r="M869" s="138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138"/>
      <c r="H870" s="6"/>
      <c r="I870" s="6"/>
      <c r="J870" s="6"/>
      <c r="K870" s="6"/>
      <c r="L870" s="6"/>
      <c r="M870" s="138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138"/>
      <c r="H871" s="6"/>
      <c r="I871" s="6"/>
      <c r="J871" s="6"/>
      <c r="K871" s="6"/>
      <c r="L871" s="6"/>
      <c r="M871" s="138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138"/>
      <c r="H872" s="6"/>
      <c r="I872" s="6"/>
      <c r="J872" s="6"/>
      <c r="K872" s="6"/>
      <c r="L872" s="6"/>
      <c r="M872" s="138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138"/>
      <c r="H873" s="6"/>
      <c r="I873" s="6"/>
      <c r="J873" s="6"/>
      <c r="K873" s="6"/>
      <c r="L873" s="6"/>
      <c r="M873" s="138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138"/>
      <c r="H874" s="6"/>
      <c r="I874" s="6"/>
      <c r="J874" s="6"/>
      <c r="K874" s="6"/>
      <c r="L874" s="6"/>
      <c r="M874" s="138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138"/>
      <c r="H875" s="6"/>
      <c r="I875" s="6"/>
      <c r="J875" s="6"/>
      <c r="K875" s="6"/>
      <c r="L875" s="6"/>
      <c r="M875" s="138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138"/>
      <c r="H876" s="6"/>
      <c r="I876" s="6"/>
      <c r="J876" s="6"/>
      <c r="K876" s="6"/>
      <c r="L876" s="6"/>
      <c r="M876" s="138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138"/>
      <c r="H877" s="6"/>
      <c r="I877" s="6"/>
      <c r="J877" s="6"/>
      <c r="K877" s="6"/>
      <c r="L877" s="6"/>
      <c r="M877" s="138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138"/>
      <c r="H878" s="6"/>
      <c r="I878" s="6"/>
      <c r="J878" s="6"/>
      <c r="K878" s="6"/>
      <c r="L878" s="6"/>
      <c r="M878" s="138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138"/>
      <c r="H879" s="6"/>
      <c r="I879" s="6"/>
      <c r="J879" s="6"/>
      <c r="K879" s="6"/>
      <c r="L879" s="6"/>
      <c r="M879" s="138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138"/>
      <c r="H880" s="6"/>
      <c r="I880" s="6"/>
      <c r="J880" s="6"/>
      <c r="K880" s="6"/>
      <c r="L880" s="6"/>
      <c r="M880" s="138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138"/>
      <c r="H881" s="6"/>
      <c r="I881" s="6"/>
      <c r="J881" s="6"/>
      <c r="K881" s="6"/>
      <c r="L881" s="6"/>
      <c r="M881" s="138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138"/>
      <c r="H882" s="6"/>
      <c r="I882" s="6"/>
      <c r="J882" s="6"/>
      <c r="K882" s="6"/>
      <c r="L882" s="6"/>
      <c r="M882" s="138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138"/>
      <c r="H883" s="6"/>
      <c r="I883" s="6"/>
      <c r="J883" s="6"/>
      <c r="K883" s="6"/>
      <c r="L883" s="6"/>
      <c r="M883" s="138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138"/>
      <c r="H884" s="6"/>
      <c r="I884" s="6"/>
      <c r="J884" s="6"/>
      <c r="K884" s="6"/>
      <c r="L884" s="6"/>
      <c r="M884" s="138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138"/>
      <c r="H885" s="6"/>
      <c r="I885" s="6"/>
      <c r="J885" s="6"/>
      <c r="K885" s="6"/>
      <c r="L885" s="6"/>
      <c r="M885" s="138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138"/>
      <c r="H886" s="6"/>
      <c r="I886" s="6"/>
      <c r="J886" s="6"/>
      <c r="K886" s="6"/>
      <c r="L886" s="6"/>
      <c r="M886" s="138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138"/>
      <c r="H887" s="6"/>
      <c r="I887" s="6"/>
      <c r="J887" s="6"/>
      <c r="K887" s="6"/>
      <c r="L887" s="6"/>
      <c r="M887" s="138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138"/>
      <c r="H888" s="6"/>
      <c r="I888" s="6"/>
      <c r="J888" s="6"/>
      <c r="K888" s="6"/>
      <c r="L888" s="6"/>
      <c r="M888" s="138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138"/>
      <c r="H889" s="6"/>
      <c r="I889" s="6"/>
      <c r="J889" s="6"/>
      <c r="K889" s="6"/>
      <c r="L889" s="6"/>
      <c r="M889" s="138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138"/>
      <c r="H890" s="6"/>
      <c r="I890" s="6"/>
      <c r="J890" s="6"/>
      <c r="K890" s="6"/>
      <c r="L890" s="6"/>
      <c r="M890" s="138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138"/>
      <c r="H891" s="6"/>
      <c r="I891" s="6"/>
      <c r="J891" s="6"/>
      <c r="K891" s="6"/>
      <c r="L891" s="6"/>
      <c r="M891" s="138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138"/>
      <c r="H892" s="6"/>
      <c r="I892" s="6"/>
      <c r="J892" s="6"/>
      <c r="K892" s="6"/>
      <c r="L892" s="6"/>
      <c r="M892" s="138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138"/>
      <c r="H893" s="6"/>
      <c r="I893" s="6"/>
      <c r="J893" s="6"/>
      <c r="K893" s="6"/>
      <c r="L893" s="6"/>
      <c r="M893" s="138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138"/>
      <c r="H894" s="6"/>
      <c r="I894" s="6"/>
      <c r="J894" s="6"/>
      <c r="K894" s="6"/>
      <c r="L894" s="6"/>
      <c r="M894" s="138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138"/>
      <c r="H895" s="6"/>
      <c r="I895" s="6"/>
      <c r="J895" s="6"/>
      <c r="K895" s="6"/>
      <c r="L895" s="6"/>
      <c r="M895" s="138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138"/>
      <c r="H896" s="6"/>
      <c r="I896" s="6"/>
      <c r="J896" s="6"/>
      <c r="K896" s="6"/>
      <c r="L896" s="6"/>
      <c r="M896" s="138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138"/>
      <c r="H897" s="6"/>
      <c r="I897" s="6"/>
      <c r="J897" s="6"/>
      <c r="K897" s="6"/>
      <c r="L897" s="6"/>
      <c r="M897" s="138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138"/>
      <c r="H898" s="6"/>
      <c r="I898" s="6"/>
      <c r="J898" s="6"/>
      <c r="K898" s="6"/>
      <c r="L898" s="6"/>
      <c r="M898" s="138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138"/>
      <c r="H899" s="6"/>
      <c r="I899" s="6"/>
      <c r="J899" s="6"/>
      <c r="K899" s="6"/>
      <c r="L899" s="6"/>
      <c r="M899" s="138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138"/>
      <c r="H900" s="6"/>
      <c r="I900" s="6"/>
      <c r="J900" s="6"/>
      <c r="K900" s="6"/>
      <c r="L900" s="6"/>
      <c r="M900" s="138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138"/>
      <c r="H901" s="6"/>
      <c r="I901" s="6"/>
      <c r="J901" s="6"/>
      <c r="K901" s="6"/>
      <c r="L901" s="6"/>
      <c r="M901" s="138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138"/>
      <c r="H902" s="6"/>
      <c r="I902" s="6"/>
      <c r="J902" s="6"/>
      <c r="K902" s="6"/>
      <c r="L902" s="6"/>
      <c r="M902" s="138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138"/>
      <c r="H903" s="6"/>
      <c r="I903" s="6"/>
      <c r="J903" s="6"/>
      <c r="K903" s="6"/>
      <c r="L903" s="6"/>
      <c r="M903" s="138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138"/>
      <c r="H904" s="6"/>
      <c r="I904" s="6"/>
      <c r="J904" s="6"/>
      <c r="K904" s="6"/>
      <c r="L904" s="6"/>
      <c r="M904" s="138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138"/>
      <c r="H905" s="6"/>
      <c r="I905" s="6"/>
      <c r="J905" s="6"/>
      <c r="K905" s="6"/>
      <c r="L905" s="6"/>
      <c r="M905" s="138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138"/>
      <c r="H906" s="6"/>
      <c r="I906" s="6"/>
      <c r="J906" s="6"/>
      <c r="K906" s="6"/>
      <c r="L906" s="6"/>
      <c r="M906" s="138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138"/>
      <c r="H907" s="6"/>
      <c r="I907" s="6"/>
      <c r="J907" s="6"/>
      <c r="K907" s="6"/>
      <c r="L907" s="6"/>
      <c r="M907" s="138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138"/>
      <c r="H908" s="6"/>
      <c r="I908" s="6"/>
      <c r="J908" s="6"/>
      <c r="K908" s="6"/>
      <c r="L908" s="6"/>
      <c r="M908" s="138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138"/>
      <c r="H909" s="6"/>
      <c r="I909" s="6"/>
      <c r="J909" s="6"/>
      <c r="K909" s="6"/>
      <c r="L909" s="6"/>
      <c r="M909" s="138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138"/>
      <c r="H910" s="6"/>
      <c r="I910" s="6"/>
      <c r="J910" s="6"/>
      <c r="K910" s="6"/>
      <c r="L910" s="6"/>
      <c r="M910" s="138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138"/>
      <c r="H911" s="6"/>
      <c r="I911" s="6"/>
      <c r="J911" s="6"/>
      <c r="K911" s="6"/>
      <c r="L911" s="6"/>
      <c r="M911" s="138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138"/>
      <c r="H912" s="6"/>
      <c r="I912" s="6"/>
      <c r="J912" s="6"/>
      <c r="K912" s="6"/>
      <c r="L912" s="6"/>
      <c r="M912" s="138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138"/>
      <c r="H913" s="6"/>
      <c r="I913" s="6"/>
      <c r="J913" s="6"/>
      <c r="K913" s="6"/>
      <c r="L913" s="6"/>
      <c r="M913" s="138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138"/>
      <c r="H914" s="6"/>
      <c r="I914" s="6"/>
      <c r="J914" s="6"/>
      <c r="K914" s="6"/>
      <c r="L914" s="6"/>
      <c r="M914" s="138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138"/>
      <c r="H915" s="6"/>
      <c r="I915" s="6"/>
      <c r="J915" s="6"/>
      <c r="K915" s="6"/>
      <c r="L915" s="6"/>
      <c r="M915" s="138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138"/>
      <c r="H916" s="6"/>
      <c r="I916" s="6"/>
      <c r="J916" s="6"/>
      <c r="K916" s="6"/>
      <c r="L916" s="6"/>
      <c r="M916" s="138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138"/>
      <c r="H917" s="6"/>
      <c r="I917" s="6"/>
      <c r="J917" s="6"/>
      <c r="K917" s="6"/>
      <c r="L917" s="6"/>
      <c r="M917" s="138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138"/>
      <c r="H918" s="6"/>
      <c r="I918" s="6"/>
      <c r="J918" s="6"/>
      <c r="K918" s="6"/>
      <c r="L918" s="6"/>
      <c r="M918" s="138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138"/>
      <c r="H919" s="6"/>
      <c r="I919" s="6"/>
      <c r="J919" s="6"/>
      <c r="K919" s="6"/>
      <c r="L919" s="6"/>
      <c r="M919" s="138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138"/>
      <c r="H920" s="6"/>
      <c r="I920" s="6"/>
      <c r="J920" s="6"/>
      <c r="K920" s="6"/>
      <c r="L920" s="6"/>
      <c r="M920" s="138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138"/>
      <c r="H921" s="6"/>
      <c r="I921" s="6"/>
      <c r="J921" s="6"/>
      <c r="K921" s="6"/>
      <c r="L921" s="6"/>
      <c r="M921" s="138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138"/>
      <c r="H922" s="6"/>
      <c r="I922" s="6"/>
      <c r="J922" s="6"/>
      <c r="K922" s="6"/>
      <c r="L922" s="6"/>
      <c r="M922" s="138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138"/>
      <c r="H923" s="6"/>
      <c r="I923" s="6"/>
      <c r="J923" s="6"/>
      <c r="K923" s="6"/>
      <c r="L923" s="6"/>
      <c r="M923" s="138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138"/>
      <c r="H924" s="6"/>
      <c r="I924" s="6"/>
      <c r="J924" s="6"/>
      <c r="K924" s="6"/>
      <c r="L924" s="6"/>
      <c r="M924" s="138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138"/>
      <c r="H925" s="6"/>
      <c r="I925" s="6"/>
      <c r="J925" s="6"/>
      <c r="K925" s="6"/>
      <c r="L925" s="6"/>
      <c r="M925" s="138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138"/>
      <c r="H926" s="6"/>
      <c r="I926" s="6"/>
      <c r="J926" s="6"/>
      <c r="K926" s="6"/>
      <c r="L926" s="6"/>
      <c r="M926" s="138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138"/>
      <c r="H927" s="6"/>
      <c r="I927" s="6"/>
      <c r="J927" s="6"/>
      <c r="K927" s="6"/>
      <c r="L927" s="6"/>
      <c r="M927" s="138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138"/>
      <c r="H928" s="6"/>
      <c r="I928" s="6"/>
      <c r="J928" s="6"/>
      <c r="K928" s="6"/>
      <c r="L928" s="6"/>
      <c r="M928" s="138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138"/>
      <c r="H929" s="6"/>
      <c r="I929" s="6"/>
      <c r="J929" s="6"/>
      <c r="K929" s="6"/>
      <c r="L929" s="6"/>
      <c r="M929" s="138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138"/>
      <c r="H930" s="6"/>
      <c r="I930" s="6"/>
      <c r="J930" s="6"/>
      <c r="K930" s="6"/>
      <c r="L930" s="6"/>
      <c r="M930" s="138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138"/>
      <c r="H931" s="6"/>
      <c r="I931" s="6"/>
      <c r="J931" s="6"/>
      <c r="K931" s="6"/>
      <c r="L931" s="6"/>
      <c r="M931" s="138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138"/>
      <c r="H932" s="6"/>
      <c r="I932" s="6"/>
      <c r="J932" s="6"/>
      <c r="K932" s="6"/>
      <c r="L932" s="6"/>
      <c r="M932" s="138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138"/>
      <c r="H933" s="6"/>
      <c r="I933" s="6"/>
      <c r="J933" s="6"/>
      <c r="K933" s="6"/>
      <c r="L933" s="6"/>
      <c r="M933" s="138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138"/>
      <c r="H934" s="6"/>
      <c r="I934" s="6"/>
      <c r="J934" s="6"/>
      <c r="K934" s="6"/>
      <c r="L934" s="6"/>
      <c r="M934" s="138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138"/>
      <c r="H935" s="6"/>
      <c r="I935" s="6"/>
      <c r="J935" s="6"/>
      <c r="K935" s="6"/>
      <c r="L935" s="6"/>
      <c r="M935" s="138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138"/>
      <c r="H936" s="6"/>
      <c r="I936" s="6"/>
      <c r="J936" s="6"/>
      <c r="K936" s="6"/>
      <c r="L936" s="6"/>
      <c r="M936" s="138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138"/>
      <c r="H937" s="6"/>
      <c r="I937" s="6"/>
      <c r="J937" s="6"/>
      <c r="K937" s="6"/>
      <c r="L937" s="6"/>
      <c r="M937" s="138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138"/>
      <c r="H938" s="6"/>
      <c r="I938" s="6"/>
      <c r="J938" s="6"/>
      <c r="K938" s="6"/>
      <c r="L938" s="6"/>
      <c r="M938" s="138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138"/>
      <c r="H939" s="6"/>
      <c r="I939" s="6"/>
      <c r="J939" s="6"/>
      <c r="K939" s="6"/>
      <c r="L939" s="6"/>
      <c r="M939" s="138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138"/>
      <c r="H940" s="6"/>
      <c r="I940" s="6"/>
      <c r="J940" s="6"/>
      <c r="K940" s="6"/>
      <c r="L940" s="6"/>
      <c r="M940" s="138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138"/>
      <c r="H941" s="6"/>
      <c r="I941" s="6"/>
      <c r="J941" s="6"/>
      <c r="K941" s="6"/>
      <c r="L941" s="6"/>
      <c r="M941" s="138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138"/>
      <c r="H942" s="6"/>
      <c r="I942" s="6"/>
      <c r="J942" s="6"/>
      <c r="K942" s="6"/>
      <c r="L942" s="6"/>
      <c r="M942" s="138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138"/>
      <c r="H943" s="6"/>
      <c r="I943" s="6"/>
      <c r="J943" s="6"/>
      <c r="K943" s="6"/>
      <c r="L943" s="6"/>
      <c r="M943" s="138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138"/>
      <c r="H944" s="6"/>
      <c r="I944" s="6"/>
      <c r="J944" s="6"/>
      <c r="K944" s="6"/>
      <c r="L944" s="6"/>
      <c r="M944" s="138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138"/>
      <c r="H945" s="6"/>
      <c r="I945" s="6"/>
      <c r="J945" s="6"/>
      <c r="K945" s="6"/>
      <c r="L945" s="6"/>
      <c r="M945" s="138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138"/>
      <c r="H946" s="6"/>
      <c r="I946" s="6"/>
      <c r="J946" s="6"/>
      <c r="K946" s="6"/>
      <c r="L946" s="6"/>
      <c r="M946" s="138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138"/>
      <c r="H947" s="6"/>
      <c r="I947" s="6"/>
      <c r="J947" s="6"/>
      <c r="K947" s="6"/>
      <c r="L947" s="6"/>
      <c r="M947" s="138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138"/>
      <c r="H948" s="6"/>
      <c r="I948" s="6"/>
      <c r="J948" s="6"/>
      <c r="K948" s="6"/>
      <c r="L948" s="6"/>
      <c r="M948" s="138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138"/>
      <c r="H949" s="6"/>
      <c r="I949" s="6"/>
      <c r="J949" s="6"/>
      <c r="K949" s="6"/>
      <c r="L949" s="6"/>
      <c r="M949" s="138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138"/>
      <c r="H950" s="6"/>
      <c r="I950" s="6"/>
      <c r="J950" s="6"/>
      <c r="K950" s="6"/>
      <c r="L950" s="6"/>
      <c r="M950" s="138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138"/>
      <c r="H951" s="6"/>
      <c r="I951" s="6"/>
      <c r="J951" s="6"/>
      <c r="K951" s="6"/>
      <c r="L951" s="6"/>
      <c r="M951" s="138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138"/>
      <c r="H952" s="6"/>
      <c r="I952" s="6"/>
      <c r="J952" s="6"/>
      <c r="K952" s="6"/>
      <c r="L952" s="6"/>
      <c r="M952" s="138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138"/>
      <c r="H953" s="6"/>
      <c r="I953" s="6"/>
      <c r="J953" s="6"/>
      <c r="K953" s="6"/>
      <c r="L953" s="6"/>
      <c r="M953" s="138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138"/>
      <c r="H954" s="6"/>
      <c r="I954" s="6"/>
      <c r="J954" s="6"/>
      <c r="K954" s="6"/>
      <c r="L954" s="6"/>
      <c r="M954" s="138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138"/>
      <c r="H955" s="6"/>
      <c r="I955" s="6"/>
      <c r="J955" s="6"/>
      <c r="K955" s="6"/>
      <c r="L955" s="6"/>
      <c r="M955" s="138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138"/>
      <c r="H956" s="6"/>
      <c r="I956" s="6"/>
      <c r="J956" s="6"/>
      <c r="K956" s="6"/>
      <c r="L956" s="6"/>
      <c r="M956" s="138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138"/>
      <c r="H957" s="6"/>
      <c r="I957" s="6"/>
      <c r="J957" s="6"/>
      <c r="K957" s="6"/>
      <c r="L957" s="6"/>
      <c r="M957" s="138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138"/>
      <c r="H958" s="6"/>
      <c r="I958" s="6"/>
      <c r="J958" s="6"/>
      <c r="K958" s="6"/>
      <c r="L958" s="6"/>
      <c r="M958" s="138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138"/>
      <c r="H959" s="6"/>
      <c r="I959" s="6"/>
      <c r="J959" s="6"/>
      <c r="K959" s="6"/>
      <c r="L959" s="6"/>
      <c r="M959" s="138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138"/>
      <c r="H960" s="6"/>
      <c r="I960" s="6"/>
      <c r="J960" s="6"/>
      <c r="K960" s="6"/>
      <c r="L960" s="6"/>
      <c r="M960" s="138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138"/>
      <c r="H961" s="6"/>
      <c r="I961" s="6"/>
      <c r="J961" s="6"/>
      <c r="K961" s="6"/>
      <c r="L961" s="6"/>
      <c r="M961" s="138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138"/>
      <c r="H962" s="6"/>
      <c r="I962" s="6"/>
      <c r="J962" s="6"/>
      <c r="K962" s="6"/>
      <c r="L962" s="6"/>
      <c r="M962" s="138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138"/>
      <c r="H963" s="6"/>
      <c r="I963" s="6"/>
      <c r="J963" s="6"/>
      <c r="K963" s="6"/>
      <c r="L963" s="6"/>
      <c r="M963" s="138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138"/>
      <c r="H964" s="6"/>
      <c r="I964" s="6"/>
      <c r="J964" s="6"/>
      <c r="K964" s="6"/>
      <c r="L964" s="6"/>
      <c r="M964" s="138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138"/>
      <c r="H965" s="6"/>
      <c r="I965" s="6"/>
      <c r="J965" s="6"/>
      <c r="K965" s="6"/>
      <c r="L965" s="6"/>
      <c r="M965" s="138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138"/>
      <c r="H966" s="6"/>
      <c r="I966" s="6"/>
      <c r="J966" s="6"/>
      <c r="K966" s="6"/>
      <c r="L966" s="6"/>
      <c r="M966" s="138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138"/>
      <c r="H967" s="6"/>
      <c r="I967" s="6"/>
      <c r="J967" s="6"/>
      <c r="K967" s="6"/>
      <c r="L967" s="6"/>
      <c r="M967" s="138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138"/>
      <c r="H968" s="6"/>
      <c r="I968" s="6"/>
      <c r="J968" s="6"/>
      <c r="K968" s="6"/>
      <c r="L968" s="6"/>
      <c r="M968" s="138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138"/>
      <c r="H969" s="6"/>
      <c r="I969" s="6"/>
      <c r="J969" s="6"/>
      <c r="K969" s="6"/>
      <c r="L969" s="6"/>
      <c r="M969" s="138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138"/>
      <c r="H970" s="6"/>
      <c r="I970" s="6"/>
      <c r="J970" s="6"/>
      <c r="K970" s="6"/>
      <c r="L970" s="6"/>
      <c r="M970" s="138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138"/>
      <c r="H971" s="6"/>
      <c r="I971" s="6"/>
      <c r="J971" s="6"/>
      <c r="K971" s="6"/>
      <c r="L971" s="6"/>
      <c r="M971" s="138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138"/>
      <c r="H972" s="6"/>
      <c r="I972" s="6"/>
      <c r="J972" s="6"/>
      <c r="K972" s="6"/>
      <c r="L972" s="6"/>
      <c r="M972" s="138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138"/>
      <c r="H973" s="6"/>
      <c r="I973" s="6"/>
      <c r="J973" s="6"/>
      <c r="K973" s="6"/>
      <c r="L973" s="6"/>
      <c r="M973" s="138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138"/>
      <c r="H974" s="6"/>
      <c r="I974" s="6"/>
      <c r="J974" s="6"/>
      <c r="K974" s="6"/>
      <c r="L974" s="6"/>
      <c r="M974" s="138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138"/>
      <c r="H975" s="6"/>
      <c r="I975" s="6"/>
      <c r="J975" s="6"/>
      <c r="K975" s="6"/>
      <c r="L975" s="6"/>
      <c r="M975" s="138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138"/>
      <c r="H976" s="6"/>
      <c r="I976" s="6"/>
      <c r="J976" s="6"/>
      <c r="K976" s="6"/>
      <c r="L976" s="6"/>
      <c r="M976" s="138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138"/>
      <c r="H977" s="6"/>
      <c r="I977" s="6"/>
      <c r="J977" s="6"/>
      <c r="K977" s="6"/>
      <c r="L977" s="6"/>
      <c r="M977" s="138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138"/>
      <c r="H978" s="6"/>
      <c r="I978" s="6"/>
      <c r="J978" s="6"/>
      <c r="K978" s="6"/>
      <c r="L978" s="6"/>
      <c r="M978" s="138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138"/>
      <c r="H979" s="6"/>
      <c r="I979" s="6"/>
      <c r="J979" s="6"/>
      <c r="K979" s="6"/>
      <c r="L979" s="6"/>
      <c r="M979" s="138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138"/>
      <c r="H980" s="6"/>
      <c r="I980" s="6"/>
      <c r="J980" s="6"/>
      <c r="K980" s="6"/>
      <c r="L980" s="6"/>
      <c r="M980" s="138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138"/>
      <c r="H981" s="6"/>
      <c r="I981" s="6"/>
      <c r="J981" s="6"/>
      <c r="K981" s="6"/>
      <c r="L981" s="6"/>
      <c r="M981" s="138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138"/>
      <c r="H982" s="6"/>
      <c r="I982" s="6"/>
      <c r="J982" s="6"/>
      <c r="K982" s="6"/>
      <c r="L982" s="6"/>
      <c r="M982" s="138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138"/>
      <c r="H983" s="6"/>
      <c r="I983" s="6"/>
      <c r="J983" s="6"/>
      <c r="K983" s="6"/>
      <c r="L983" s="6"/>
      <c r="M983" s="138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138"/>
      <c r="H984" s="6"/>
      <c r="I984" s="6"/>
      <c r="J984" s="6"/>
      <c r="K984" s="6"/>
      <c r="L984" s="6"/>
      <c r="M984" s="138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138"/>
      <c r="H985" s="6"/>
      <c r="I985" s="6"/>
      <c r="J985" s="6"/>
      <c r="K985" s="6"/>
      <c r="L985" s="6"/>
      <c r="M985" s="138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138"/>
      <c r="H986" s="6"/>
      <c r="I986" s="6"/>
      <c r="J986" s="6"/>
      <c r="K986" s="6"/>
      <c r="L986" s="6"/>
      <c r="M986" s="138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138"/>
      <c r="H987" s="6"/>
      <c r="I987" s="6"/>
      <c r="J987" s="6"/>
      <c r="K987" s="6"/>
      <c r="L987" s="6"/>
      <c r="M987" s="138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138"/>
      <c r="H988" s="6"/>
      <c r="I988" s="6"/>
      <c r="J988" s="6"/>
      <c r="K988" s="6"/>
      <c r="L988" s="6"/>
      <c r="M988" s="138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138"/>
      <c r="H989" s="6"/>
      <c r="I989" s="6"/>
      <c r="J989" s="6"/>
      <c r="K989" s="6"/>
      <c r="L989" s="6"/>
      <c r="M989" s="138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138"/>
      <c r="H990" s="6"/>
      <c r="I990" s="6"/>
      <c r="J990" s="6"/>
      <c r="K990" s="6"/>
      <c r="L990" s="6"/>
      <c r="M990" s="138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138"/>
      <c r="H991" s="6"/>
      <c r="I991" s="6"/>
      <c r="J991" s="6"/>
      <c r="K991" s="6"/>
      <c r="L991" s="6"/>
      <c r="M991" s="138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138"/>
      <c r="H992" s="6"/>
      <c r="I992" s="6"/>
      <c r="J992" s="6"/>
      <c r="K992" s="6"/>
      <c r="L992" s="6"/>
      <c r="M992" s="138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138"/>
      <c r="H993" s="6"/>
      <c r="I993" s="6"/>
      <c r="J993" s="6"/>
      <c r="K993" s="6"/>
      <c r="L993" s="6"/>
      <c r="M993" s="138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138"/>
      <c r="H994" s="6"/>
      <c r="I994" s="6"/>
      <c r="J994" s="6"/>
      <c r="K994" s="6"/>
      <c r="L994" s="6"/>
      <c r="M994" s="138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138"/>
      <c r="H995" s="6"/>
      <c r="I995" s="6"/>
      <c r="J995" s="6"/>
      <c r="K995" s="6"/>
      <c r="L995" s="6"/>
      <c r="M995" s="138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138"/>
      <c r="H996" s="6"/>
      <c r="I996" s="6"/>
      <c r="J996" s="6"/>
      <c r="K996" s="6"/>
      <c r="L996" s="6"/>
      <c r="M996" s="138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138"/>
      <c r="H997" s="6"/>
      <c r="I997" s="6"/>
      <c r="J997" s="6"/>
      <c r="K997" s="6"/>
      <c r="L997" s="6"/>
      <c r="M997" s="138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138"/>
      <c r="H998" s="6"/>
      <c r="I998" s="6"/>
      <c r="J998" s="6"/>
      <c r="K998" s="6"/>
      <c r="L998" s="6"/>
      <c r="M998" s="138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138"/>
      <c r="H999" s="6"/>
      <c r="I999" s="6"/>
      <c r="J999" s="6"/>
      <c r="K999" s="6"/>
      <c r="L999" s="6"/>
      <c r="M999" s="138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9">
    <mergeCell ref="I8:J8"/>
    <mergeCell ref="K8:M8"/>
    <mergeCell ref="B1:Q1"/>
    <mergeCell ref="I3:J3"/>
    <mergeCell ref="K3:M3"/>
    <mergeCell ref="B6:E7"/>
    <mergeCell ref="B8:B9"/>
    <mergeCell ref="C8:C9"/>
    <mergeCell ref="E8:E9"/>
  </mergeCells>
  <conditionalFormatting sqref="E10:E94">
    <cfRule type="cellIs" dxfId="0" priority="1" operator="notBetween">
      <formula>0</formula>
      <formula>100</formula>
    </cfRule>
  </conditionalFormatting>
  <conditionalFormatting sqref="E95:E96">
    <cfRule type="cellIs" dxfId="0" priority="2" operator="notBetween">
      <formula>0</formula>
      <formula>100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18.57"/>
    <col customWidth="1" min="3" max="14" width="10.14"/>
    <col customWidth="1" min="15" max="15" width="10.86"/>
    <col customWidth="1" min="16" max="16" width="1.14"/>
    <col customWidth="1" min="17" max="26" width="9.14"/>
  </cols>
  <sheetData>
    <row r="1" ht="52.5" customHeight="1">
      <c r="A1" s="6"/>
      <c r="B1" s="214" t="s">
        <v>115</v>
      </c>
      <c r="C1" s="3"/>
      <c r="D1" s="4"/>
      <c r="E1" s="215"/>
      <c r="F1" s="216" t="s">
        <v>113</v>
      </c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7"/>
      <c r="T1" s="218"/>
      <c r="U1" s="6"/>
      <c r="V1" s="6"/>
      <c r="W1" s="6"/>
      <c r="X1" s="6"/>
      <c r="Y1" s="6"/>
      <c r="Z1" s="6"/>
    </row>
    <row r="2" ht="18.0" customHeight="1">
      <c r="A2" s="6"/>
      <c r="B2" s="7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8.0" customHeight="1">
      <c r="A3" s="6"/>
      <c r="B3" s="220"/>
      <c r="C3" s="220" t="s">
        <v>116</v>
      </c>
      <c r="D3" s="220" t="s">
        <v>117</v>
      </c>
      <c r="E3" s="220" t="s">
        <v>118</v>
      </c>
      <c r="F3" s="220" t="s">
        <v>119</v>
      </c>
      <c r="G3" s="220" t="s">
        <v>120</v>
      </c>
      <c r="H3" s="220" t="s">
        <v>121</v>
      </c>
      <c r="I3" s="220" t="s">
        <v>122</v>
      </c>
      <c r="J3" s="220" t="s">
        <v>123</v>
      </c>
      <c r="K3" s="220" t="s">
        <v>124</v>
      </c>
      <c r="L3" s="220" t="s">
        <v>125</v>
      </c>
      <c r="M3" s="220" t="s">
        <v>126</v>
      </c>
      <c r="N3" s="220" t="s">
        <v>127</v>
      </c>
      <c r="O3" s="221" t="s">
        <v>34</v>
      </c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18.0" customHeight="1">
      <c r="A4" s="6"/>
      <c r="B4" s="222" t="s">
        <v>128</v>
      </c>
      <c r="C4" s="223">
        <f>+JAN!K6</f>
        <v>4730</v>
      </c>
      <c r="D4" s="223">
        <f>+FEV!K6</f>
        <v>4440</v>
      </c>
      <c r="E4" s="223">
        <f>+MAR!K6</f>
        <v>4440</v>
      </c>
      <c r="F4" s="223">
        <f>+ABR!K6</f>
        <v>4440</v>
      </c>
      <c r="G4" s="223">
        <f>+MAI!K6</f>
        <v>4440</v>
      </c>
      <c r="H4" s="223">
        <f>+JUN!K6</f>
        <v>4440</v>
      </c>
      <c r="I4" s="223">
        <f>+JUL!K6</f>
        <v>4440</v>
      </c>
      <c r="J4" s="223" t="s">
        <v>129</v>
      </c>
      <c r="K4" s="223">
        <f>+SET!K6</f>
        <v>4440</v>
      </c>
      <c r="L4" s="223">
        <f>+OUT!K6</f>
        <v>4440</v>
      </c>
      <c r="M4" s="223">
        <f>+NOV!K6</f>
        <v>4440</v>
      </c>
      <c r="N4" s="223">
        <f>+DEZ!K6</f>
        <v>4440</v>
      </c>
      <c r="O4" s="224">
        <f t="shared" ref="O4:O6" si="1">SUM(C4:N4)</f>
        <v>49130</v>
      </c>
      <c r="P4" s="7"/>
      <c r="Q4" s="7"/>
      <c r="R4" s="7"/>
      <c r="S4" s="7"/>
      <c r="T4" s="7"/>
      <c r="U4" s="6"/>
      <c r="V4" s="6"/>
      <c r="W4" s="6"/>
      <c r="X4" s="6"/>
      <c r="Y4" s="6"/>
      <c r="Z4" s="6"/>
    </row>
    <row r="5" ht="18.0" customHeight="1">
      <c r="A5" s="6"/>
      <c r="B5" s="225" t="s">
        <v>4</v>
      </c>
      <c r="C5" s="226">
        <f>+JAN!$K4</f>
        <v>2230</v>
      </c>
      <c r="D5" s="226">
        <f>+FEV!$K4</f>
        <v>1940</v>
      </c>
      <c r="E5" s="226">
        <f>+MAR!$K4</f>
        <v>1940</v>
      </c>
      <c r="F5" s="226">
        <f>+ABR!$K4</f>
        <v>1940</v>
      </c>
      <c r="G5" s="226">
        <f>+MAI!$K4</f>
        <v>1940</v>
      </c>
      <c r="H5" s="226">
        <f>+JUN!$K4</f>
        <v>1940</v>
      </c>
      <c r="I5" s="226">
        <f>+JUL!$K4</f>
        <v>1940</v>
      </c>
      <c r="J5" s="226">
        <f>+AGO!$K4</f>
        <v>1940</v>
      </c>
      <c r="K5" s="226">
        <f>+SET!$K4</f>
        <v>1940</v>
      </c>
      <c r="L5" s="226">
        <f>+OUT!$K4</f>
        <v>1940</v>
      </c>
      <c r="M5" s="226">
        <f>+NOV!$K4</f>
        <v>1940</v>
      </c>
      <c r="N5" s="226">
        <f>+DEZ!$K4</f>
        <v>1940</v>
      </c>
      <c r="O5" s="226">
        <f t="shared" si="1"/>
        <v>23570</v>
      </c>
      <c r="P5" s="7"/>
      <c r="Q5" s="7"/>
      <c r="R5" s="7"/>
      <c r="S5" s="7"/>
      <c r="T5" s="7"/>
      <c r="U5" s="6"/>
      <c r="V5" s="6"/>
      <c r="W5" s="6"/>
      <c r="X5" s="6"/>
      <c r="Y5" s="6"/>
      <c r="Z5" s="6"/>
    </row>
    <row r="6" ht="18.0" customHeight="1">
      <c r="A6" s="6"/>
      <c r="B6" s="227" t="s">
        <v>5</v>
      </c>
      <c r="C6" s="228">
        <f>+JAN!$K5</f>
        <v>2500</v>
      </c>
      <c r="D6" s="228">
        <f>+FEV!$K5</f>
        <v>2500</v>
      </c>
      <c r="E6" s="228">
        <f>+MAR!$K5</f>
        <v>2500</v>
      </c>
      <c r="F6" s="228">
        <f>+ABR!$K5</f>
        <v>2500</v>
      </c>
      <c r="G6" s="228">
        <f>+MAI!$K5</f>
        <v>2500</v>
      </c>
      <c r="H6" s="228">
        <f>+JUN!$K5</f>
        <v>2500</v>
      </c>
      <c r="I6" s="228">
        <f>+JUL!$K5</f>
        <v>2500</v>
      </c>
      <c r="J6" s="228">
        <f>+AGO!$K5</f>
        <v>2500</v>
      </c>
      <c r="K6" s="228">
        <f>+SET!$K5</f>
        <v>2500</v>
      </c>
      <c r="L6" s="228">
        <f>+OUT!$K5</f>
        <v>2500</v>
      </c>
      <c r="M6" s="228">
        <f>+NOV!$K5</f>
        <v>2500</v>
      </c>
      <c r="N6" s="228">
        <f>+DEZ!$K5</f>
        <v>2500</v>
      </c>
      <c r="O6" s="228">
        <f t="shared" si="1"/>
        <v>30000</v>
      </c>
      <c r="P6" s="7"/>
      <c r="Q6" s="7"/>
      <c r="R6" s="7"/>
      <c r="S6" s="7"/>
      <c r="T6" s="7"/>
      <c r="U6" s="6"/>
      <c r="V6" s="6"/>
      <c r="W6" s="6"/>
      <c r="X6" s="6"/>
      <c r="Y6" s="6"/>
      <c r="Z6" s="6"/>
    </row>
    <row r="7" ht="18.0" customHeight="1">
      <c r="A7" s="6"/>
      <c r="B7" s="229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  <c r="P7" s="7"/>
      <c r="Q7" s="7"/>
      <c r="R7" s="7"/>
      <c r="S7" s="7"/>
      <c r="T7" s="7"/>
      <c r="U7" s="6"/>
      <c r="V7" s="6"/>
      <c r="W7" s="6"/>
      <c r="X7" s="6"/>
      <c r="Y7" s="6"/>
      <c r="Z7" s="6"/>
    </row>
    <row r="8" ht="18.0" customHeight="1">
      <c r="A8" s="6"/>
      <c r="B8" s="231" t="s">
        <v>130</v>
      </c>
      <c r="C8" s="232">
        <f>+JAN!$K$7</f>
        <v>3651</v>
      </c>
      <c r="D8" s="232">
        <f>+FEV!$K$7</f>
        <v>3361</v>
      </c>
      <c r="E8" s="232">
        <f>+MAR!$K$7</f>
        <v>3361</v>
      </c>
      <c r="F8" s="232">
        <f>+ABR!$K$7</f>
        <v>3361</v>
      </c>
      <c r="G8" s="232">
        <f>+MAI!$K$7</f>
        <v>3361</v>
      </c>
      <c r="H8" s="232">
        <f>+JUN!$K$7</f>
        <v>3361</v>
      </c>
      <c r="I8" s="232">
        <f>+JUL!$K$7</f>
        <v>3361</v>
      </c>
      <c r="J8" s="232">
        <f>+AGO!$K$7</f>
        <v>3361</v>
      </c>
      <c r="K8" s="232">
        <f>+SET!$K$7</f>
        <v>3361</v>
      </c>
      <c r="L8" s="232">
        <f>+OUT!$K$7</f>
        <v>3361</v>
      </c>
      <c r="M8" s="232">
        <f>+NOV!$K$7</f>
        <v>3361</v>
      </c>
      <c r="N8" s="232">
        <f>+DEZ!$K$7</f>
        <v>3361</v>
      </c>
      <c r="O8" s="232">
        <f>+SUM(C8:N8)</f>
        <v>40622</v>
      </c>
      <c r="P8" s="7"/>
      <c r="Q8" s="7"/>
      <c r="R8" s="7"/>
      <c r="S8" s="7"/>
      <c r="T8" s="7"/>
      <c r="U8" s="6"/>
      <c r="V8" s="6"/>
      <c r="W8" s="6"/>
      <c r="X8" s="6"/>
      <c r="Y8" s="6"/>
      <c r="Z8" s="6"/>
    </row>
    <row r="9" ht="18.0" customHeight="1">
      <c r="A9" s="6">
        <v>1.0</v>
      </c>
      <c r="B9" s="225" t="s">
        <v>131</v>
      </c>
      <c r="C9" s="226">
        <f>+JAN!K22</f>
        <v>610</v>
      </c>
      <c r="D9" s="226">
        <f>+FEV!K22</f>
        <v>1520</v>
      </c>
      <c r="E9" s="226">
        <f>+MAR!$J$22</f>
        <v>1857</v>
      </c>
      <c r="F9" s="226">
        <f>+ABR!$J$22</f>
        <v>1857</v>
      </c>
      <c r="G9" s="226">
        <f>+MAI!$J$22</f>
        <v>1857</v>
      </c>
      <c r="H9" s="226">
        <f>+JUN!$J$22</f>
        <v>1857</v>
      </c>
      <c r="I9" s="226">
        <f>+JUL!$J$22</f>
        <v>1857</v>
      </c>
      <c r="J9" s="226">
        <f>+AGO!$J$22</f>
        <v>1857</v>
      </c>
      <c r="K9" s="226">
        <f>+SET!$J$22</f>
        <v>1857</v>
      </c>
      <c r="L9" s="226">
        <f>+OUT!$J$17</f>
        <v>150</v>
      </c>
      <c r="M9" s="226">
        <f>+NOV!$J$20</f>
        <v>175</v>
      </c>
      <c r="N9" s="226">
        <f>+DEZ!$J$21</f>
        <v>0</v>
      </c>
      <c r="O9" s="226">
        <f t="shared" ref="O9:O18" si="2">SUM(C9:N9)</f>
        <v>15454</v>
      </c>
      <c r="P9" s="7"/>
      <c r="Q9" s="7"/>
      <c r="R9" s="7"/>
      <c r="S9" s="7"/>
      <c r="T9" s="7"/>
      <c r="U9" s="6"/>
      <c r="V9" s="6"/>
      <c r="W9" s="6"/>
      <c r="X9" s="6"/>
      <c r="Y9" s="6"/>
      <c r="Z9" s="6"/>
    </row>
    <row r="10" ht="18.0" customHeight="1">
      <c r="A10" s="6">
        <v>2.0</v>
      </c>
      <c r="B10" s="233" t="s">
        <v>132</v>
      </c>
      <c r="C10" s="234">
        <f>+JAN!$J$29</f>
        <v>840</v>
      </c>
      <c r="D10" s="234">
        <f>+FEV!$J$29</f>
        <v>840</v>
      </c>
      <c r="E10" s="234">
        <f>+MAR!$J$29</f>
        <v>840</v>
      </c>
      <c r="F10" s="234">
        <f>+ABR!$J$29</f>
        <v>840</v>
      </c>
      <c r="G10" s="234">
        <f>+MAI!$J$29</f>
        <v>840</v>
      </c>
      <c r="H10" s="234">
        <f>+JUN!$J$29</f>
        <v>840</v>
      </c>
      <c r="I10" s="234">
        <f>+JUL!$J$29</f>
        <v>840</v>
      </c>
      <c r="J10" s="234">
        <f>+AGO!$J$29</f>
        <v>840</v>
      </c>
      <c r="K10" s="234">
        <f>+SET!$J$29</f>
        <v>840</v>
      </c>
      <c r="L10" s="234" t="str">
        <f>+OUT!$J$24</f>
        <v>Real</v>
      </c>
      <c r="M10" s="234">
        <f>+NOV!$J$27</f>
        <v>250</v>
      </c>
      <c r="N10" s="234">
        <f>+DEZ!$J$28</f>
        <v>0</v>
      </c>
      <c r="O10" s="234">
        <f t="shared" si="2"/>
        <v>7810</v>
      </c>
      <c r="P10" s="7"/>
      <c r="Q10" s="7"/>
      <c r="R10" s="7"/>
      <c r="S10" s="7"/>
      <c r="T10" s="7"/>
      <c r="U10" s="6"/>
      <c r="V10" s="6"/>
      <c r="W10" s="6"/>
      <c r="X10" s="6"/>
      <c r="Y10" s="6"/>
      <c r="Z10" s="6"/>
    </row>
    <row r="11" ht="18.0" customHeight="1">
      <c r="A11" s="6">
        <v>4.0</v>
      </c>
      <c r="B11" s="233" t="s">
        <v>133</v>
      </c>
      <c r="C11" s="234">
        <f>+JAN!K51</f>
        <v>679</v>
      </c>
      <c r="D11" s="234">
        <f>+FEV!K51</f>
        <v>679</v>
      </c>
      <c r="E11" s="234">
        <f>+MAR!$J$51</f>
        <v>0</v>
      </c>
      <c r="F11" s="234">
        <f>+ABR!$J$51</f>
        <v>0</v>
      </c>
      <c r="G11" s="234">
        <f>+MAI!$J$51</f>
        <v>0</v>
      </c>
      <c r="H11" s="234">
        <f>+JUN!$J$51</f>
        <v>0</v>
      </c>
      <c r="I11" s="234">
        <f>+JUL!$J$51</f>
        <v>0</v>
      </c>
      <c r="J11" s="234">
        <f>+AGO!$J$51</f>
        <v>0</v>
      </c>
      <c r="K11" s="234">
        <f>+SET!$J$51</f>
        <v>0</v>
      </c>
      <c r="L11" s="234">
        <f>+OUT!$J$46</f>
        <v>0</v>
      </c>
      <c r="M11" s="234">
        <f>+NOV!$J$49</f>
        <v>0</v>
      </c>
      <c r="N11" s="234">
        <f>+DEZ!$J$50</f>
        <v>0</v>
      </c>
      <c r="O11" s="234">
        <f t="shared" si="2"/>
        <v>1358</v>
      </c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</row>
    <row r="12" ht="18.0" customHeight="1">
      <c r="A12" s="6">
        <v>7.0</v>
      </c>
      <c r="B12" s="225" t="s">
        <v>134</v>
      </c>
      <c r="C12" s="226">
        <f>+JAN!K57</f>
        <v>39</v>
      </c>
      <c r="D12" s="226">
        <f>+FEV!$K57</f>
        <v>39</v>
      </c>
      <c r="E12" s="226">
        <f>+MAR!$J$57</f>
        <v>0</v>
      </c>
      <c r="F12" s="226">
        <f>+ABR!$J$57</f>
        <v>0</v>
      </c>
      <c r="G12" s="226">
        <f>+MAI!$J$57</f>
        <v>0</v>
      </c>
      <c r="H12" s="226">
        <f>+JUN!$J$57</f>
        <v>0</v>
      </c>
      <c r="I12" s="226">
        <f>+JUL!$J$57</f>
        <v>0</v>
      </c>
      <c r="J12" s="226">
        <f>+AGO!$J$57</f>
        <v>0</v>
      </c>
      <c r="K12" s="226">
        <f>+SET!$J$57</f>
        <v>0</v>
      </c>
      <c r="L12" s="226" t="str">
        <f>+OUT!$J$52</f>
        <v/>
      </c>
      <c r="M12" s="226">
        <f>+NOV!$J$55</f>
        <v>0</v>
      </c>
      <c r="N12" s="226">
        <f>+DEZ!$J$56</f>
        <v>0</v>
      </c>
      <c r="O12" s="226">
        <f t="shared" si="2"/>
        <v>78</v>
      </c>
      <c r="P12" s="7"/>
      <c r="Q12" s="7"/>
      <c r="R12" s="7"/>
      <c r="S12" s="7"/>
      <c r="T12" s="7"/>
      <c r="U12" s="6"/>
      <c r="V12" s="6"/>
      <c r="W12" s="6"/>
      <c r="X12" s="6"/>
      <c r="Y12" s="6"/>
      <c r="Z12" s="6"/>
    </row>
    <row r="13" ht="18.0" customHeight="1">
      <c r="A13" s="6">
        <v>3.0</v>
      </c>
      <c r="B13" s="225" t="s">
        <v>135</v>
      </c>
      <c r="C13" s="226">
        <f>+JAN!$P$24</f>
        <v>428</v>
      </c>
      <c r="D13" s="226">
        <f>+FEV!$P$24</f>
        <v>428</v>
      </c>
      <c r="E13" s="226">
        <f>+MAR!$P$24</f>
        <v>428</v>
      </c>
      <c r="F13" s="226">
        <f>+ABR!$P$24</f>
        <v>428</v>
      </c>
      <c r="G13" s="226">
        <f>+MAI!$P$24</f>
        <v>428</v>
      </c>
      <c r="H13" s="226">
        <f>+JUN!$P$24</f>
        <v>428</v>
      </c>
      <c r="I13" s="226">
        <f>+JUL!$P$24</f>
        <v>428</v>
      </c>
      <c r="J13" s="226">
        <f>+AGO!$P$24</f>
        <v>428</v>
      </c>
      <c r="K13" s="226">
        <f>+SET!$P$24</f>
        <v>428</v>
      </c>
      <c r="L13" s="226">
        <f>+OUT!$P$19</f>
        <v>0</v>
      </c>
      <c r="M13" s="226">
        <f>+NOV!$P$22</f>
        <v>0</v>
      </c>
      <c r="N13" s="226">
        <f>+DEZ!$P$23</f>
        <v>0</v>
      </c>
      <c r="O13" s="226">
        <f t="shared" si="2"/>
        <v>3852</v>
      </c>
      <c r="P13" s="7"/>
      <c r="Q13" s="7"/>
      <c r="R13" s="7"/>
      <c r="S13" s="7"/>
      <c r="T13" s="7"/>
      <c r="U13" s="6"/>
      <c r="V13" s="6"/>
      <c r="W13" s="6"/>
      <c r="X13" s="6"/>
      <c r="Y13" s="6"/>
      <c r="Z13" s="6"/>
    </row>
    <row r="14" ht="18.0" customHeight="1">
      <c r="A14" s="6">
        <v>5.0</v>
      </c>
      <c r="B14" s="233" t="s">
        <v>136</v>
      </c>
      <c r="C14" s="234">
        <f>+JAN!Q34</f>
        <v>140</v>
      </c>
      <c r="D14" s="234">
        <f>+FEV!$Q$34</f>
        <v>140</v>
      </c>
      <c r="E14" s="234">
        <f>+MAR!$P$34</f>
        <v>0</v>
      </c>
      <c r="F14" s="234">
        <f>+ABR!$P$34</f>
        <v>0</v>
      </c>
      <c r="G14" s="234">
        <f>+MAI!$P$34</f>
        <v>0</v>
      </c>
      <c r="H14" s="234">
        <f>+JUN!$P$34</f>
        <v>0</v>
      </c>
      <c r="I14" s="234">
        <f>+JUL!$P$34</f>
        <v>0</v>
      </c>
      <c r="J14" s="234">
        <f>+AGO!$P$34</f>
        <v>0</v>
      </c>
      <c r="K14" s="234">
        <f>+SET!$P$34</f>
        <v>0</v>
      </c>
      <c r="L14" s="234">
        <f>+OUT!$P$29</f>
        <v>0</v>
      </c>
      <c r="M14" s="234">
        <f>+NOV!$P$32</f>
        <v>0</v>
      </c>
      <c r="N14" s="234">
        <f>+DEZ!$P$33</f>
        <v>0</v>
      </c>
      <c r="O14" s="234">
        <f t="shared" si="2"/>
        <v>280</v>
      </c>
      <c r="P14" s="7"/>
      <c r="Q14" s="7"/>
      <c r="R14" s="7"/>
      <c r="S14" s="7"/>
      <c r="T14" s="7"/>
      <c r="U14" s="6"/>
      <c r="V14" s="6"/>
      <c r="W14" s="6"/>
      <c r="X14" s="6"/>
      <c r="Y14" s="6"/>
      <c r="Z14" s="6"/>
    </row>
    <row r="15" ht="18.0" customHeight="1">
      <c r="A15" s="6"/>
      <c r="B15" s="225" t="s">
        <v>137</v>
      </c>
      <c r="C15" s="235">
        <f>+JAN!Q42</f>
        <v>778</v>
      </c>
      <c r="D15" s="226">
        <f>+FEV!$Q$42</f>
        <v>778</v>
      </c>
      <c r="E15" s="226">
        <f>+MAR!$P$42</f>
        <v>0</v>
      </c>
      <c r="F15" s="226">
        <f>+ABR!$P$42</f>
        <v>0</v>
      </c>
      <c r="G15" s="226">
        <f>+MAI!$P$42</f>
        <v>0</v>
      </c>
      <c r="H15" s="226">
        <f>+JUN!$P$42</f>
        <v>0</v>
      </c>
      <c r="I15" s="226">
        <f>+JUL!$P$42</f>
        <v>0</v>
      </c>
      <c r="J15" s="226">
        <f>+AGO!$P$42</f>
        <v>0</v>
      </c>
      <c r="K15" s="226">
        <f>+SET!$P$42</f>
        <v>0</v>
      </c>
      <c r="L15" s="226">
        <f>+OUT!$P$37</f>
        <v>0</v>
      </c>
      <c r="M15" s="226">
        <f>+NOV!$P$40</f>
        <v>0</v>
      </c>
      <c r="N15" s="226">
        <f>+DEZ!$P$41</f>
        <v>0</v>
      </c>
      <c r="O15" s="226">
        <f t="shared" si="2"/>
        <v>1556</v>
      </c>
      <c r="P15" s="7"/>
      <c r="Q15" s="7"/>
      <c r="R15" s="7"/>
      <c r="S15" s="7"/>
      <c r="T15" s="7"/>
      <c r="U15" s="6"/>
      <c r="V15" s="6"/>
      <c r="W15" s="6"/>
      <c r="X15" s="6"/>
      <c r="Y15" s="6"/>
      <c r="Z15" s="6"/>
    </row>
    <row r="16" ht="18.0" customHeight="1">
      <c r="A16" s="6"/>
      <c r="B16" s="233" t="s">
        <v>138</v>
      </c>
      <c r="C16" s="234">
        <f>+JAN!Q52</f>
        <v>0</v>
      </c>
      <c r="D16" s="234">
        <f>+FEV!$Q$52</f>
        <v>0</v>
      </c>
      <c r="E16" s="234">
        <f>+MAR!$P$52</f>
        <v>0</v>
      </c>
      <c r="F16" s="234">
        <f>+ABR!$P$52</f>
        <v>0</v>
      </c>
      <c r="G16" s="234">
        <f>+MAI!$P$52</f>
        <v>0</v>
      </c>
      <c r="H16" s="234">
        <f>+JUN!$P$52</f>
        <v>0</v>
      </c>
      <c r="I16" s="234">
        <f>+JUL!$P$52</f>
        <v>0</v>
      </c>
      <c r="J16" s="234">
        <f>+AGO!$P$52</f>
        <v>0</v>
      </c>
      <c r="K16" s="234">
        <f>+SET!$P$52</f>
        <v>0</v>
      </c>
      <c r="L16" s="234">
        <f>+OUT!$P$47</f>
        <v>0</v>
      </c>
      <c r="M16" s="234">
        <f>+NOV!$P$50</f>
        <v>0</v>
      </c>
      <c r="N16" s="234">
        <f>+DEZ!$P$51</f>
        <v>0</v>
      </c>
      <c r="O16" s="234">
        <f t="shared" si="2"/>
        <v>0</v>
      </c>
      <c r="P16" s="7"/>
      <c r="Q16" s="7"/>
      <c r="R16" s="7"/>
      <c r="S16" s="7"/>
      <c r="T16" s="7"/>
      <c r="U16" s="6"/>
      <c r="V16" s="6"/>
      <c r="W16" s="6"/>
      <c r="X16" s="6"/>
      <c r="Y16" s="6"/>
      <c r="Z16" s="6"/>
    </row>
    <row r="17" ht="18.0" customHeight="1">
      <c r="A17" s="6"/>
      <c r="B17" s="225" t="s">
        <v>139</v>
      </c>
      <c r="C17" s="226">
        <f>+JAN!Q67</f>
        <v>0</v>
      </c>
      <c r="D17" s="226">
        <f>+FEV!$P$65</f>
        <v>0</v>
      </c>
      <c r="E17" s="226">
        <f>+MAR!$Q$65</f>
        <v>0</v>
      </c>
      <c r="F17" s="226">
        <f>+ABR!$P$65</f>
        <v>0</v>
      </c>
      <c r="G17" s="226">
        <f>+MAI!$P$65</f>
        <v>0</v>
      </c>
      <c r="H17" s="226">
        <f>+JUN!$P$65</f>
        <v>0</v>
      </c>
      <c r="I17" s="226">
        <f>+JUL!$P$65</f>
        <v>0</v>
      </c>
      <c r="J17" s="226">
        <f>+AGO!$P$65</f>
        <v>0</v>
      </c>
      <c r="K17" s="226">
        <f>+SET!$P$65</f>
        <v>0</v>
      </c>
      <c r="L17" s="226" t="str">
        <f>+OUT!$P$60</f>
        <v/>
      </c>
      <c r="M17" s="226">
        <f>+NOV!$P$63</f>
        <v>0</v>
      </c>
      <c r="N17" s="226">
        <f>+DEZ!$P$64</f>
        <v>0</v>
      </c>
      <c r="O17" s="226">
        <f t="shared" si="2"/>
        <v>0</v>
      </c>
      <c r="P17" s="7"/>
      <c r="Q17" s="7"/>
      <c r="R17" s="7"/>
      <c r="S17" s="7"/>
      <c r="T17" s="7"/>
      <c r="U17" s="6"/>
      <c r="V17" s="6"/>
      <c r="W17" s="6"/>
      <c r="X17" s="6"/>
      <c r="Y17" s="6"/>
      <c r="Z17" s="6"/>
    </row>
    <row r="18" ht="18.0" customHeight="1">
      <c r="A18" s="6"/>
      <c r="B18" s="236" t="s">
        <v>140</v>
      </c>
      <c r="C18" s="234">
        <f>+JAN!K66</f>
        <v>5090</v>
      </c>
      <c r="D18" s="234">
        <f>+FEV!$K$64</f>
        <v>4800</v>
      </c>
      <c r="E18" s="234">
        <f>+MAR!$P$59</f>
        <v>0</v>
      </c>
      <c r="F18" s="234">
        <f>+ABR!$P$59</f>
        <v>0</v>
      </c>
      <c r="G18" s="234">
        <f>+MAI!$P$59</f>
        <v>0</v>
      </c>
      <c r="H18" s="234">
        <f>+JUN!$P$59</f>
        <v>0</v>
      </c>
      <c r="I18" s="234">
        <f>+JUL!$P$59</f>
        <v>0</v>
      </c>
      <c r="J18" s="234">
        <f>+AGO!$P$59</f>
        <v>0</v>
      </c>
      <c r="K18" s="234">
        <f>+SET!$P$59</f>
        <v>0</v>
      </c>
      <c r="L18" s="234" t="str">
        <f>+OUT!$P$54</f>
        <v>Real</v>
      </c>
      <c r="M18" s="234">
        <f>+NOV!$P$57</f>
        <v>0</v>
      </c>
      <c r="N18" s="234">
        <f>+DEZ!$P$58</f>
        <v>0</v>
      </c>
      <c r="O18" s="234">
        <f t="shared" si="2"/>
        <v>9890</v>
      </c>
      <c r="P18" s="7"/>
      <c r="Q18" s="7"/>
      <c r="R18" s="7"/>
      <c r="S18" s="7"/>
      <c r="T18" s="7"/>
      <c r="U18" s="6"/>
      <c r="V18" s="6"/>
      <c r="W18" s="6"/>
      <c r="X18" s="6"/>
      <c r="Y18" s="6"/>
      <c r="Z18" s="6"/>
    </row>
    <row r="19" ht="18.0" customHeight="1">
      <c r="A19" s="6"/>
      <c r="B19" s="237"/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9"/>
      <c r="P19" s="7"/>
      <c r="Q19" s="7"/>
      <c r="R19" s="7"/>
      <c r="S19" s="7"/>
      <c r="T19" s="7"/>
      <c r="U19" s="6"/>
      <c r="V19" s="6"/>
      <c r="W19" s="6"/>
      <c r="X19" s="6"/>
      <c r="Y19" s="6"/>
      <c r="Z19" s="6"/>
    </row>
    <row r="20" ht="18.0" customHeight="1">
      <c r="A20" s="6"/>
      <c r="B20" s="240" t="s">
        <v>141</v>
      </c>
      <c r="C20" s="241">
        <f t="shared" ref="C20:O20" si="3">+C4-C8</f>
        <v>1079</v>
      </c>
      <c r="D20" s="241">
        <f t="shared" si="3"/>
        <v>1079</v>
      </c>
      <c r="E20" s="241">
        <f t="shared" si="3"/>
        <v>1079</v>
      </c>
      <c r="F20" s="241">
        <f t="shared" si="3"/>
        <v>1079</v>
      </c>
      <c r="G20" s="241">
        <f t="shared" si="3"/>
        <v>1079</v>
      </c>
      <c r="H20" s="241">
        <f t="shared" si="3"/>
        <v>1079</v>
      </c>
      <c r="I20" s="241">
        <f t="shared" si="3"/>
        <v>1079</v>
      </c>
      <c r="J20" s="241" t="str">
        <f t="shared" si="3"/>
        <v>#VALUE!</v>
      </c>
      <c r="K20" s="241">
        <f t="shared" si="3"/>
        <v>1079</v>
      </c>
      <c r="L20" s="241">
        <f t="shared" si="3"/>
        <v>1079</v>
      </c>
      <c r="M20" s="241">
        <f t="shared" si="3"/>
        <v>1079</v>
      </c>
      <c r="N20" s="241">
        <f t="shared" si="3"/>
        <v>1079</v>
      </c>
      <c r="O20" s="241">
        <f t="shared" si="3"/>
        <v>8508</v>
      </c>
      <c r="P20" s="7"/>
      <c r="Q20" s="7"/>
      <c r="R20" s="7"/>
      <c r="S20" s="7"/>
      <c r="T20" s="7"/>
      <c r="U20" s="6"/>
      <c r="V20" s="6"/>
      <c r="W20" s="6"/>
      <c r="X20" s="6"/>
      <c r="Y20" s="6"/>
      <c r="Z20" s="6"/>
    </row>
    <row r="21" ht="18.0" customHeight="1">
      <c r="A21" s="6"/>
      <c r="B21" s="7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7"/>
      <c r="Q21" s="7"/>
      <c r="R21" s="7"/>
      <c r="S21" s="7"/>
      <c r="T21" s="7"/>
      <c r="U21" s="6"/>
      <c r="V21" s="6"/>
      <c r="W21" s="6"/>
      <c r="X21" s="6"/>
      <c r="Y21" s="6"/>
      <c r="Z21" s="6"/>
    </row>
    <row r="22" ht="18.0" customHeight="1">
      <c r="A22" s="6"/>
      <c r="B22" s="242" t="s">
        <v>142</v>
      </c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7"/>
      <c r="Q22" s="7"/>
      <c r="R22" s="7"/>
      <c r="S22" s="7"/>
      <c r="T22" s="7"/>
      <c r="U22" s="6"/>
      <c r="V22" s="6"/>
      <c r="W22" s="6"/>
      <c r="X22" s="6"/>
      <c r="Y22" s="6"/>
      <c r="Z22" s="6"/>
    </row>
    <row r="23" ht="18.0" customHeight="1">
      <c r="A23" s="6"/>
      <c r="B23" s="225" t="s">
        <v>143</v>
      </c>
      <c r="C23" s="244">
        <v>1200.0</v>
      </c>
      <c r="D23" s="235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>
        <f t="shared" ref="O23:O32" si="4">SUM(C23:N23)</f>
        <v>1200</v>
      </c>
      <c r="P23" s="7"/>
      <c r="Q23" s="7"/>
      <c r="R23" s="7"/>
      <c r="S23" s="7"/>
      <c r="T23" s="7"/>
      <c r="U23" s="6"/>
      <c r="V23" s="6"/>
      <c r="W23" s="6"/>
      <c r="X23" s="6"/>
      <c r="Y23" s="6"/>
      <c r="Z23" s="6"/>
    </row>
    <row r="24" ht="18.0" customHeight="1">
      <c r="A24" s="6"/>
      <c r="B24" s="245" t="s">
        <v>144</v>
      </c>
      <c r="C24" s="246">
        <v>1200.0</v>
      </c>
      <c r="D24" s="247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>
        <f t="shared" si="4"/>
        <v>1200</v>
      </c>
      <c r="P24" s="7"/>
      <c r="Q24" s="7"/>
      <c r="R24" s="7"/>
      <c r="S24" s="7"/>
      <c r="T24" s="7"/>
      <c r="U24" s="6"/>
      <c r="V24" s="6"/>
      <c r="W24" s="6"/>
      <c r="X24" s="6"/>
      <c r="Y24" s="6"/>
      <c r="Z24" s="6"/>
    </row>
    <row r="25" ht="18.0" customHeight="1">
      <c r="A25" s="6"/>
      <c r="B25" s="225" t="s">
        <v>145</v>
      </c>
      <c r="C25" s="244">
        <v>1200.0</v>
      </c>
      <c r="D25" s="235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>
        <f t="shared" si="4"/>
        <v>1200</v>
      </c>
      <c r="P25" s="7"/>
      <c r="Q25" s="7"/>
      <c r="R25" s="7"/>
      <c r="S25" s="7"/>
      <c r="T25" s="7"/>
      <c r="U25" s="6"/>
      <c r="V25" s="6"/>
      <c r="W25" s="6"/>
      <c r="X25" s="6"/>
      <c r="Y25" s="6"/>
      <c r="Z25" s="6"/>
    </row>
    <row r="26" ht="18.0" customHeight="1">
      <c r="A26" s="6"/>
      <c r="B26" s="245" t="s">
        <v>146</v>
      </c>
      <c r="C26" s="246">
        <v>1200.0</v>
      </c>
      <c r="D26" s="247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>
        <f t="shared" si="4"/>
        <v>1200</v>
      </c>
      <c r="P26" s="7"/>
      <c r="Q26" s="7"/>
      <c r="R26" s="7"/>
      <c r="S26" s="7"/>
      <c r="T26" s="7"/>
      <c r="U26" s="6"/>
      <c r="V26" s="6"/>
      <c r="W26" s="6"/>
      <c r="X26" s="6"/>
      <c r="Y26" s="6"/>
      <c r="Z26" s="6"/>
    </row>
    <row r="27" ht="18.0" customHeight="1">
      <c r="A27" s="6"/>
      <c r="B27" s="225" t="s">
        <v>147</v>
      </c>
      <c r="C27" s="244">
        <v>1200.0</v>
      </c>
      <c r="D27" s="235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>
        <f t="shared" si="4"/>
        <v>1200</v>
      </c>
      <c r="P27" s="7"/>
      <c r="Q27" s="7"/>
      <c r="R27" s="7"/>
      <c r="S27" s="7"/>
      <c r="T27" s="7"/>
      <c r="U27" s="6"/>
      <c r="V27" s="6"/>
      <c r="W27" s="6"/>
      <c r="X27" s="6"/>
      <c r="Y27" s="6"/>
      <c r="Z27" s="6"/>
    </row>
    <row r="28" ht="18.0" customHeight="1">
      <c r="A28" s="6"/>
      <c r="B28" s="249" t="s">
        <v>148</v>
      </c>
      <c r="C28" s="250">
        <v>1200.0</v>
      </c>
      <c r="D28" s="251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>
        <f t="shared" si="4"/>
        <v>1200</v>
      </c>
      <c r="P28" s="7"/>
      <c r="Q28" s="7"/>
      <c r="R28" s="7"/>
      <c r="S28" s="7"/>
      <c r="T28" s="7"/>
      <c r="U28" s="6"/>
      <c r="V28" s="6"/>
      <c r="W28" s="6"/>
      <c r="X28" s="6"/>
      <c r="Y28" s="6"/>
      <c r="Z28" s="6"/>
    </row>
    <row r="29" ht="18.0" customHeight="1">
      <c r="A29" s="6"/>
      <c r="B29" s="225" t="s">
        <v>149</v>
      </c>
      <c r="C29" s="244">
        <v>1200.0</v>
      </c>
      <c r="D29" s="235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>
        <f t="shared" si="4"/>
        <v>1200</v>
      </c>
      <c r="P29" s="7"/>
      <c r="Q29" s="7"/>
      <c r="R29" s="7"/>
      <c r="S29" s="7"/>
      <c r="T29" s="7"/>
      <c r="U29" s="6"/>
      <c r="V29" s="6"/>
      <c r="W29" s="6"/>
      <c r="X29" s="6"/>
      <c r="Y29" s="6"/>
      <c r="Z29" s="6"/>
    </row>
    <row r="30" ht="18.0" customHeight="1">
      <c r="A30" s="6"/>
      <c r="B30" s="245" t="s">
        <v>150</v>
      </c>
      <c r="C30" s="246">
        <v>1200.0</v>
      </c>
      <c r="D30" s="247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>
        <f t="shared" si="4"/>
        <v>1200</v>
      </c>
      <c r="P30" s="7"/>
      <c r="Q30" s="7"/>
      <c r="R30" s="7"/>
      <c r="S30" s="7"/>
      <c r="T30" s="7"/>
      <c r="U30" s="6"/>
      <c r="V30" s="6"/>
      <c r="W30" s="6"/>
      <c r="X30" s="6"/>
      <c r="Y30" s="6"/>
      <c r="Z30" s="6"/>
    </row>
    <row r="31" ht="18.0" customHeight="1">
      <c r="A31" s="6"/>
      <c r="B31" s="225" t="s">
        <v>151</v>
      </c>
      <c r="C31" s="244">
        <v>1200.0</v>
      </c>
      <c r="D31" s="235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>
        <f t="shared" si="4"/>
        <v>1200</v>
      </c>
      <c r="P31" s="7"/>
      <c r="Q31" s="7"/>
      <c r="R31" s="7"/>
      <c r="S31" s="7"/>
      <c r="T31" s="7"/>
      <c r="U31" s="6"/>
      <c r="V31" s="6"/>
      <c r="W31" s="6"/>
      <c r="X31" s="6"/>
      <c r="Y31" s="6"/>
      <c r="Z31" s="6"/>
    </row>
    <row r="32" ht="18.0" customHeight="1">
      <c r="A32" s="6"/>
      <c r="B32" s="253" t="s">
        <v>109</v>
      </c>
      <c r="C32" s="254">
        <v>1200.0</v>
      </c>
      <c r="D32" s="255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>
        <f t="shared" si="4"/>
        <v>1200</v>
      </c>
      <c r="P32" s="7"/>
      <c r="Q32" s="7"/>
      <c r="R32" s="7"/>
      <c r="S32" s="7"/>
      <c r="T32" s="7"/>
      <c r="U32" s="6"/>
      <c r="V32" s="6"/>
      <c r="W32" s="6"/>
      <c r="X32" s="6"/>
      <c r="Y32" s="6"/>
      <c r="Z32" s="6"/>
    </row>
    <row r="33" ht="18.0" customHeight="1">
      <c r="A33" s="6"/>
      <c r="B33" s="257" t="s">
        <v>141</v>
      </c>
      <c r="C33" s="258">
        <f t="shared" ref="C33:O33" si="5">+C20-SUM(C23:C32)</f>
        <v>-10921</v>
      </c>
      <c r="D33" s="258">
        <f t="shared" si="5"/>
        <v>1079</v>
      </c>
      <c r="E33" s="258">
        <f t="shared" si="5"/>
        <v>1079</v>
      </c>
      <c r="F33" s="258">
        <f t="shared" si="5"/>
        <v>1079</v>
      </c>
      <c r="G33" s="258">
        <f t="shared" si="5"/>
        <v>1079</v>
      </c>
      <c r="H33" s="258">
        <f t="shared" si="5"/>
        <v>1079</v>
      </c>
      <c r="I33" s="258">
        <f t="shared" si="5"/>
        <v>1079</v>
      </c>
      <c r="J33" s="258" t="str">
        <f t="shared" si="5"/>
        <v>#VALUE!</v>
      </c>
      <c r="K33" s="258">
        <f t="shared" si="5"/>
        <v>1079</v>
      </c>
      <c r="L33" s="258">
        <f t="shared" si="5"/>
        <v>1079</v>
      </c>
      <c r="M33" s="258">
        <f t="shared" si="5"/>
        <v>1079</v>
      </c>
      <c r="N33" s="258">
        <f t="shared" si="5"/>
        <v>1079</v>
      </c>
      <c r="O33" s="258">
        <f t="shared" si="5"/>
        <v>-3492</v>
      </c>
      <c r="P33" s="7"/>
      <c r="Q33" s="7"/>
      <c r="R33" s="7"/>
      <c r="S33" s="7"/>
      <c r="T33" s="7"/>
      <c r="U33" s="6"/>
      <c r="V33" s="6"/>
      <c r="W33" s="6"/>
      <c r="X33" s="6"/>
      <c r="Y33" s="6"/>
      <c r="Z33" s="6"/>
    </row>
    <row r="34" ht="15.75" customHeight="1">
      <c r="A34" s="6"/>
      <c r="B34" s="7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7"/>
      <c r="Q34" s="7"/>
      <c r="R34" s="7"/>
      <c r="S34" s="7"/>
      <c r="T34" s="7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259"/>
      <c r="D37" s="259"/>
      <c r="E37" s="259"/>
      <c r="F37" s="259"/>
      <c r="G37" s="259"/>
      <c r="H37" s="259"/>
      <c r="I37" s="259"/>
      <c r="J37" s="259"/>
      <c r="K37" s="259"/>
      <c r="L37" s="259"/>
      <c r="M37" s="259"/>
      <c r="N37" s="259"/>
      <c r="O37" s="259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259"/>
      <c r="D39" s="259"/>
      <c r="E39" s="259"/>
      <c r="F39" s="259"/>
      <c r="G39" s="259"/>
      <c r="H39" s="259"/>
      <c r="I39" s="259"/>
      <c r="J39" s="259"/>
      <c r="K39" s="259"/>
      <c r="L39" s="259"/>
      <c r="M39" s="259"/>
      <c r="N39" s="259"/>
      <c r="O39" s="259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259"/>
      <c r="D40" s="259"/>
      <c r="E40" s="259"/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259"/>
      <c r="D43" s="259"/>
      <c r="E43" s="259"/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259"/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259"/>
      <c r="D47" s="259"/>
      <c r="E47" s="259"/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259"/>
      <c r="D57" s="259"/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259"/>
      <c r="D77" s="259"/>
      <c r="E77" s="259"/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259"/>
      <c r="D83" s="259"/>
      <c r="E83" s="259"/>
      <c r="F83" s="259"/>
      <c r="G83" s="259"/>
      <c r="H83" s="259"/>
      <c r="I83" s="259"/>
      <c r="J83" s="259"/>
      <c r="K83" s="259"/>
      <c r="L83" s="259"/>
      <c r="M83" s="259"/>
      <c r="N83" s="259"/>
      <c r="O83" s="259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9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259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259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9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259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259"/>
      <c r="D91" s="259"/>
      <c r="E91" s="259"/>
      <c r="F91" s="259"/>
      <c r="G91" s="259"/>
      <c r="H91" s="259"/>
      <c r="I91" s="259"/>
      <c r="J91" s="259"/>
      <c r="K91" s="259"/>
      <c r="L91" s="259"/>
      <c r="M91" s="259"/>
      <c r="N91" s="259"/>
      <c r="O91" s="259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259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259"/>
      <c r="D93" s="259"/>
      <c r="E93" s="259"/>
      <c r="F93" s="259"/>
      <c r="G93" s="259"/>
      <c r="H93" s="259"/>
      <c r="I93" s="259"/>
      <c r="J93" s="259"/>
      <c r="K93" s="259"/>
      <c r="L93" s="259"/>
      <c r="M93" s="259"/>
      <c r="N93" s="259"/>
      <c r="O93" s="25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259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9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  <c r="M254" s="259"/>
      <c r="N254" s="259"/>
      <c r="O254" s="259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  <c r="M255" s="259"/>
      <c r="N255" s="259"/>
      <c r="O255" s="259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9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9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9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  <c r="M262" s="259"/>
      <c r="N262" s="259"/>
      <c r="O262" s="259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9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  <c r="M266" s="259"/>
      <c r="N266" s="259"/>
      <c r="O266" s="259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  <c r="M267" s="259"/>
      <c r="N267" s="259"/>
      <c r="O267" s="259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9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  <c r="M269" s="259"/>
      <c r="N269" s="259"/>
      <c r="O269" s="259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  <c r="M270" s="259"/>
      <c r="N270" s="259"/>
      <c r="O270" s="259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9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9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  <c r="M273" s="259"/>
      <c r="N273" s="259"/>
      <c r="O273" s="259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  <c r="M274" s="259"/>
      <c r="N274" s="259"/>
      <c r="O274" s="259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  <c r="M276" s="259"/>
      <c r="N276" s="259"/>
      <c r="O276" s="259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9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9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9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9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9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9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259"/>
      <c r="D315" s="259"/>
      <c r="E315" s="259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259"/>
      <c r="D340" s="259"/>
      <c r="E340" s="259"/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259"/>
      <c r="D342" s="259"/>
      <c r="E342" s="259"/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9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9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259"/>
      <c r="D368" s="259"/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  <c r="M372" s="259"/>
      <c r="N372" s="259"/>
      <c r="O372" s="259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59"/>
      <c r="N373" s="259"/>
      <c r="O373" s="259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  <c r="M375" s="259"/>
      <c r="N375" s="259"/>
      <c r="O375" s="259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  <c r="M376" s="259"/>
      <c r="N376" s="259"/>
      <c r="O376" s="259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  <c r="M378" s="259"/>
      <c r="N378" s="259"/>
      <c r="O378" s="259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  <c r="M379" s="259"/>
      <c r="N379" s="259"/>
      <c r="O379" s="259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  <c r="M393" s="259"/>
      <c r="N393" s="259"/>
      <c r="O393" s="259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9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9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9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9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9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9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9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9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9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9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9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9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9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9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9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9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9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9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9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9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9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9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9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9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9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9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9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9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9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9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9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9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9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9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9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9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9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9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9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9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9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9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9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9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9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9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9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9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9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9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9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9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9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9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9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9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9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9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9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9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9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9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9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9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9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9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9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9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9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9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9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9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9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9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9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9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9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9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9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9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9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9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9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9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9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9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9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9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9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9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9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9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9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9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9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9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9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9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9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9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9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9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9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9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9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9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9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9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9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9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9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9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9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9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9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9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9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9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9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9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9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9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9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9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9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9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9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9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9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9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9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9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9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9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9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9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9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9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9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9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9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9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9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9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9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9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9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9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9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9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9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9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9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9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9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9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9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9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9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9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9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9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9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9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9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9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9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9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9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9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9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9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9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9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9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9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9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9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9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9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9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9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9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9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9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9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9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9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9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9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9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9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9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9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9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9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9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9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9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9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9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9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9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9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9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9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9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9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9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9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9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9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9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9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9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9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9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9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9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9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9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9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9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9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9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9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9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9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9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9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9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9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9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9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9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9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9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9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9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9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9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9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9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9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9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9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9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9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9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9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9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9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9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9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9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9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9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9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9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9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9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9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9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9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9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9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9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9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9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9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9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9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9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9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9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9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9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9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9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9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9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9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9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9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9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9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9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9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9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9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9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9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9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9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9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9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9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9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9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9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9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9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9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9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9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9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9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9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9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9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9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9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9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9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9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9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9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9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9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9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9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9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9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9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9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9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9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9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9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9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9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9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9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9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9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9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9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9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9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9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9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9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9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9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9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9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9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9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9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9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9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9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9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9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9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9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9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9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9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9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9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9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9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9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9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9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9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9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9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9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9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9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9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9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9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9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9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9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9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9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9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9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9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9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9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9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9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9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9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9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9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9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9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9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9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9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9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9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9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9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9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9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9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9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9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9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9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9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9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9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9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9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9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9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9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9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9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9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9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9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9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9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9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9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9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9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9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mergeCells count="1">
    <mergeCell ref="B1:D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2023-08-28T17:53:38Z</dcterms:created>
  <dc:creator>Eduardo Jun Marubayashi</dc:creator>
</cp:coreProperties>
</file>